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vihinirupasinghe/Desktop/"/>
    </mc:Choice>
  </mc:AlternateContent>
  <xr:revisionPtr revIDLastSave="0" documentId="13_ncr:1_{DB8228F3-64A0-4842-AE50-7D1E0541ABE8}" xr6:coauthVersionLast="47" xr6:coauthVersionMax="47" xr10:uidLastSave="{00000000-0000-0000-0000-000000000000}"/>
  <bookViews>
    <workbookView xWindow="12420" yWindow="920" windowWidth="16720" windowHeight="17160" activeTab="1" xr2:uid="{8BA780BE-F2B4-5F45-BF6C-022847CB5891}"/>
  </bookViews>
  <sheets>
    <sheet name="Sheet1" sheetId="1" r:id="rId1"/>
    <sheet name="Wage Index Chart" sheetId="3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131" i="3" l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H2" i="1"/>
  <c r="G2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" i="1"/>
  <c r="D131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2" i="1"/>
  <c r="D133" i="1"/>
  <c r="D134" i="1"/>
  <c r="D135" i="1"/>
  <c r="D136" i="1"/>
  <c r="D137" i="1"/>
  <c r="D138" i="1"/>
  <c r="D139" i="1"/>
  <c r="D140" i="1"/>
  <c r="D141" i="1"/>
  <c r="D142" i="1"/>
  <c r="D2" i="1"/>
</calcChain>
</file>

<file path=xl/sharedStrings.xml><?xml version="1.0" encoding="utf-8"?>
<sst xmlns="http://schemas.openxmlformats.org/spreadsheetml/2006/main" count="11" uniqueCount="8">
  <si>
    <t>DATE</t>
  </si>
  <si>
    <t>HOURLY WAGE</t>
  </si>
  <si>
    <t xml:space="preserve">CPI </t>
  </si>
  <si>
    <t>REAL HOURLY WAGE</t>
  </si>
  <si>
    <t>INFLATION RATE(%)</t>
  </si>
  <si>
    <t>REAL WAGE GROWTH(%)</t>
  </si>
  <si>
    <t>NOMINAL WAGE INDEX</t>
  </si>
  <si>
    <t>REAL WAGE 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</si>
</sst>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2"/>
      <color theme="1"/>
      <name val="Aptos Narrow (Body)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 vertical="center"/>
    </xf>
    <xf numFmtId="2" fontId="0" fillId="0" borderId="0" xfId="0" applyNumberFormat="1"/>
    <xf numFmtId="14" fontId="0" fillId="0" borderId="0" xfId="0" applyNumberFormat="1" applyAlignment="1">
      <alignment horizontal="center" vertical="center"/>
    </xf>
    <xf numFmtId="0" fontId="1" fillId="0" borderId="0" xfId="0" applyFon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2" fontId="2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U.S. Inflation vs. Real Wage Growth (2016–2026)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Inflation Rate (%)</c:v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Sheet1!$A$14:$A$142</c:f>
              <c:numCache>
                <c:formatCode>m/d/yy</c:formatCode>
                <c:ptCount val="129"/>
                <c:pt idx="0">
                  <c:v>42370</c:v>
                </c:pt>
                <c:pt idx="1">
                  <c:v>42401</c:v>
                </c:pt>
                <c:pt idx="2">
                  <c:v>42430</c:v>
                </c:pt>
                <c:pt idx="3">
                  <c:v>42461</c:v>
                </c:pt>
                <c:pt idx="4">
                  <c:v>42491</c:v>
                </c:pt>
                <c:pt idx="5">
                  <c:v>42522</c:v>
                </c:pt>
                <c:pt idx="6">
                  <c:v>42552</c:v>
                </c:pt>
                <c:pt idx="7">
                  <c:v>42583</c:v>
                </c:pt>
                <c:pt idx="8">
                  <c:v>42614</c:v>
                </c:pt>
                <c:pt idx="9">
                  <c:v>42644</c:v>
                </c:pt>
                <c:pt idx="10">
                  <c:v>42675</c:v>
                </c:pt>
                <c:pt idx="11">
                  <c:v>42705</c:v>
                </c:pt>
                <c:pt idx="12">
                  <c:v>42736</c:v>
                </c:pt>
                <c:pt idx="13">
                  <c:v>42767</c:v>
                </c:pt>
                <c:pt idx="14">
                  <c:v>42795</c:v>
                </c:pt>
                <c:pt idx="15">
                  <c:v>42826</c:v>
                </c:pt>
                <c:pt idx="16">
                  <c:v>42856</c:v>
                </c:pt>
                <c:pt idx="17">
                  <c:v>42887</c:v>
                </c:pt>
                <c:pt idx="18">
                  <c:v>42917</c:v>
                </c:pt>
                <c:pt idx="19">
                  <c:v>42948</c:v>
                </c:pt>
                <c:pt idx="20">
                  <c:v>42979</c:v>
                </c:pt>
                <c:pt idx="21">
                  <c:v>43009</c:v>
                </c:pt>
                <c:pt idx="22">
                  <c:v>43040</c:v>
                </c:pt>
                <c:pt idx="23">
                  <c:v>43070</c:v>
                </c:pt>
                <c:pt idx="24">
                  <c:v>43101</c:v>
                </c:pt>
                <c:pt idx="25">
                  <c:v>43132</c:v>
                </c:pt>
                <c:pt idx="26">
                  <c:v>43160</c:v>
                </c:pt>
                <c:pt idx="27">
                  <c:v>43191</c:v>
                </c:pt>
                <c:pt idx="28">
                  <c:v>43221</c:v>
                </c:pt>
                <c:pt idx="29">
                  <c:v>43252</c:v>
                </c:pt>
                <c:pt idx="30">
                  <c:v>43282</c:v>
                </c:pt>
                <c:pt idx="31">
                  <c:v>43313</c:v>
                </c:pt>
                <c:pt idx="32">
                  <c:v>43344</c:v>
                </c:pt>
                <c:pt idx="33">
                  <c:v>43374</c:v>
                </c:pt>
                <c:pt idx="34">
                  <c:v>43405</c:v>
                </c:pt>
                <c:pt idx="35">
                  <c:v>43435</c:v>
                </c:pt>
                <c:pt idx="36">
                  <c:v>43466</c:v>
                </c:pt>
                <c:pt idx="37">
                  <c:v>43497</c:v>
                </c:pt>
                <c:pt idx="38">
                  <c:v>43525</c:v>
                </c:pt>
                <c:pt idx="39">
                  <c:v>43556</c:v>
                </c:pt>
                <c:pt idx="40">
                  <c:v>43586</c:v>
                </c:pt>
                <c:pt idx="41">
                  <c:v>43617</c:v>
                </c:pt>
                <c:pt idx="42">
                  <c:v>43647</c:v>
                </c:pt>
                <c:pt idx="43">
                  <c:v>43678</c:v>
                </c:pt>
                <c:pt idx="44">
                  <c:v>43709</c:v>
                </c:pt>
                <c:pt idx="45">
                  <c:v>43739</c:v>
                </c:pt>
                <c:pt idx="46">
                  <c:v>43770</c:v>
                </c:pt>
                <c:pt idx="47">
                  <c:v>43800</c:v>
                </c:pt>
                <c:pt idx="48">
                  <c:v>43831</c:v>
                </c:pt>
                <c:pt idx="49">
                  <c:v>43862</c:v>
                </c:pt>
                <c:pt idx="50">
                  <c:v>43891</c:v>
                </c:pt>
                <c:pt idx="51">
                  <c:v>43922</c:v>
                </c:pt>
                <c:pt idx="52">
                  <c:v>43952</c:v>
                </c:pt>
                <c:pt idx="53">
                  <c:v>43983</c:v>
                </c:pt>
                <c:pt idx="54">
                  <c:v>44013</c:v>
                </c:pt>
                <c:pt idx="55">
                  <c:v>44044</c:v>
                </c:pt>
                <c:pt idx="56">
                  <c:v>44075</c:v>
                </c:pt>
                <c:pt idx="57">
                  <c:v>44105</c:v>
                </c:pt>
                <c:pt idx="58">
                  <c:v>44136</c:v>
                </c:pt>
                <c:pt idx="59">
                  <c:v>44166</c:v>
                </c:pt>
                <c:pt idx="60">
                  <c:v>44197</c:v>
                </c:pt>
                <c:pt idx="61">
                  <c:v>44228</c:v>
                </c:pt>
                <c:pt idx="62">
                  <c:v>44256</c:v>
                </c:pt>
                <c:pt idx="63">
                  <c:v>44287</c:v>
                </c:pt>
                <c:pt idx="64">
                  <c:v>44317</c:v>
                </c:pt>
                <c:pt idx="65">
                  <c:v>44348</c:v>
                </c:pt>
                <c:pt idx="66">
                  <c:v>44378</c:v>
                </c:pt>
                <c:pt idx="67">
                  <c:v>44409</c:v>
                </c:pt>
                <c:pt idx="68">
                  <c:v>44440</c:v>
                </c:pt>
                <c:pt idx="69">
                  <c:v>44470</c:v>
                </c:pt>
                <c:pt idx="70">
                  <c:v>44501</c:v>
                </c:pt>
                <c:pt idx="71">
                  <c:v>44531</c:v>
                </c:pt>
                <c:pt idx="72">
                  <c:v>44562</c:v>
                </c:pt>
                <c:pt idx="73">
                  <c:v>44593</c:v>
                </c:pt>
                <c:pt idx="74">
                  <c:v>44621</c:v>
                </c:pt>
                <c:pt idx="75">
                  <c:v>44652</c:v>
                </c:pt>
                <c:pt idx="76">
                  <c:v>44682</c:v>
                </c:pt>
                <c:pt idx="77">
                  <c:v>44713</c:v>
                </c:pt>
                <c:pt idx="78">
                  <c:v>44743</c:v>
                </c:pt>
                <c:pt idx="79">
                  <c:v>44774</c:v>
                </c:pt>
                <c:pt idx="80">
                  <c:v>44805</c:v>
                </c:pt>
                <c:pt idx="81">
                  <c:v>44835</c:v>
                </c:pt>
                <c:pt idx="82">
                  <c:v>44866</c:v>
                </c:pt>
                <c:pt idx="83">
                  <c:v>44896</c:v>
                </c:pt>
                <c:pt idx="84">
                  <c:v>44927</c:v>
                </c:pt>
                <c:pt idx="85">
                  <c:v>44958</c:v>
                </c:pt>
                <c:pt idx="86">
                  <c:v>44986</c:v>
                </c:pt>
                <c:pt idx="87">
                  <c:v>45017</c:v>
                </c:pt>
                <c:pt idx="88">
                  <c:v>45047</c:v>
                </c:pt>
                <c:pt idx="89">
                  <c:v>45078</c:v>
                </c:pt>
                <c:pt idx="90">
                  <c:v>45108</c:v>
                </c:pt>
                <c:pt idx="91">
                  <c:v>45139</c:v>
                </c:pt>
                <c:pt idx="92">
                  <c:v>45170</c:v>
                </c:pt>
                <c:pt idx="93">
                  <c:v>45200</c:v>
                </c:pt>
                <c:pt idx="94">
                  <c:v>45231</c:v>
                </c:pt>
                <c:pt idx="95">
                  <c:v>45261</c:v>
                </c:pt>
                <c:pt idx="96">
                  <c:v>45292</c:v>
                </c:pt>
                <c:pt idx="97">
                  <c:v>45323</c:v>
                </c:pt>
                <c:pt idx="98">
                  <c:v>45352</c:v>
                </c:pt>
                <c:pt idx="99">
                  <c:v>45383</c:v>
                </c:pt>
                <c:pt idx="100">
                  <c:v>45413</c:v>
                </c:pt>
                <c:pt idx="101">
                  <c:v>45444</c:v>
                </c:pt>
                <c:pt idx="102">
                  <c:v>45474</c:v>
                </c:pt>
                <c:pt idx="103">
                  <c:v>45505</c:v>
                </c:pt>
                <c:pt idx="104">
                  <c:v>45536</c:v>
                </c:pt>
                <c:pt idx="105">
                  <c:v>45566</c:v>
                </c:pt>
                <c:pt idx="106">
                  <c:v>45597</c:v>
                </c:pt>
                <c:pt idx="107">
                  <c:v>45627</c:v>
                </c:pt>
                <c:pt idx="108">
                  <c:v>45658</c:v>
                </c:pt>
                <c:pt idx="109">
                  <c:v>45689</c:v>
                </c:pt>
                <c:pt idx="110">
                  <c:v>45717</c:v>
                </c:pt>
                <c:pt idx="111">
                  <c:v>45748</c:v>
                </c:pt>
                <c:pt idx="112">
                  <c:v>45778</c:v>
                </c:pt>
                <c:pt idx="113">
                  <c:v>45809</c:v>
                </c:pt>
                <c:pt idx="114">
                  <c:v>45839</c:v>
                </c:pt>
                <c:pt idx="115">
                  <c:v>45870</c:v>
                </c:pt>
                <c:pt idx="116">
                  <c:v>45901</c:v>
                </c:pt>
                <c:pt idx="117">
                  <c:v>45931</c:v>
                </c:pt>
                <c:pt idx="118">
                  <c:v>45962</c:v>
                </c:pt>
                <c:pt idx="119">
                  <c:v>45992</c:v>
                </c:pt>
                <c:pt idx="120">
                  <c:v>46023</c:v>
                </c:pt>
                <c:pt idx="121">
                  <c:v>46054</c:v>
                </c:pt>
                <c:pt idx="122">
                  <c:v>46082</c:v>
                </c:pt>
                <c:pt idx="123">
                  <c:v>46113</c:v>
                </c:pt>
                <c:pt idx="124">
                  <c:v>46143</c:v>
                </c:pt>
                <c:pt idx="125">
                  <c:v>46174</c:v>
                </c:pt>
                <c:pt idx="126">
                  <c:v>46204</c:v>
                </c:pt>
                <c:pt idx="127">
                  <c:v>46235</c:v>
                </c:pt>
                <c:pt idx="128">
                  <c:v>46266</c:v>
                </c:pt>
              </c:numCache>
            </c:numRef>
          </c:cat>
          <c:val>
            <c:numRef>
              <c:f>Sheet1!$E$14:$E$142</c:f>
              <c:numCache>
                <c:formatCode>0.00</c:formatCode>
                <c:ptCount val="129"/>
                <c:pt idx="0">
                  <c:v>1.2375025026943876</c:v>
                </c:pt>
                <c:pt idx="1">
                  <c:v>0.84727757901266187</c:v>
                </c:pt>
                <c:pt idx="2">
                  <c:v>0.89161609655219465</c:v>
                </c:pt>
                <c:pt idx="3">
                  <c:v>1.1726257503534843</c:v>
                </c:pt>
                <c:pt idx="4">
                  <c:v>1.0784764621246223</c:v>
                </c:pt>
                <c:pt idx="5">
                  <c:v>1.0792865347959424</c:v>
                </c:pt>
                <c:pt idx="6">
                  <c:v>0.86836334305182561</c:v>
                </c:pt>
                <c:pt idx="7">
                  <c:v>1.0553158595656864</c:v>
                </c:pt>
                <c:pt idx="8">
                  <c:v>1.5486446201652182</c:v>
                </c:pt>
                <c:pt idx="9">
                  <c:v>1.685924966243646</c:v>
                </c:pt>
                <c:pt idx="10">
                  <c:v>1.6843334719788938</c:v>
                </c:pt>
                <c:pt idx="11">
                  <c:v>2.0507989115119862</c:v>
                </c:pt>
                <c:pt idx="12">
                  <c:v>2.5103933482571117</c:v>
                </c:pt>
                <c:pt idx="13">
                  <c:v>2.8103616813294208</c:v>
                </c:pt>
                <c:pt idx="14">
                  <c:v>2.44119623655914</c:v>
                </c:pt>
                <c:pt idx="15">
                  <c:v>2.176223471915395</c:v>
                </c:pt>
                <c:pt idx="16">
                  <c:v>1.8563431667619756</c:v>
                </c:pt>
                <c:pt idx="17">
                  <c:v>1.6405658099591269</c:v>
                </c:pt>
                <c:pt idx="18">
                  <c:v>1.7251073506566073</c:v>
                </c:pt>
                <c:pt idx="19">
                  <c:v>1.9281215572969801</c:v>
                </c:pt>
                <c:pt idx="20">
                  <c:v>2.1805652303711787</c:v>
                </c:pt>
                <c:pt idx="21">
                  <c:v>2.020757753132485</c:v>
                </c:pt>
                <c:pt idx="22">
                  <c:v>2.172493864295566</c:v>
                </c:pt>
                <c:pt idx="23">
                  <c:v>2.1299307195522532</c:v>
                </c:pt>
                <c:pt idx="24">
                  <c:v>2.151318868063945</c:v>
                </c:pt>
                <c:pt idx="25">
                  <c:v>2.263468931091861</c:v>
                </c:pt>
                <c:pt idx="26">
                  <c:v>2.3309497646499366</c:v>
                </c:pt>
                <c:pt idx="27">
                  <c:v>2.4709963021052994</c:v>
                </c:pt>
                <c:pt idx="28">
                  <c:v>2.7819216078424969</c:v>
                </c:pt>
                <c:pt idx="29">
                  <c:v>2.8075506935940187</c:v>
                </c:pt>
                <c:pt idx="30">
                  <c:v>2.8541247855619289</c:v>
                </c:pt>
                <c:pt idx="31">
                  <c:v>2.6429238568742575</c:v>
                </c:pt>
                <c:pt idx="32">
                  <c:v>2.3320551058088279</c:v>
                </c:pt>
                <c:pt idx="33">
                  <c:v>2.492032470218053</c:v>
                </c:pt>
                <c:pt idx="34">
                  <c:v>2.1473285776677731</c:v>
                </c:pt>
                <c:pt idx="35">
                  <c:v>2.0023809043401064</c:v>
                </c:pt>
                <c:pt idx="36">
                  <c:v>1.4875893578291333</c:v>
                </c:pt>
                <c:pt idx="37">
                  <c:v>1.5188615351321877</c:v>
                </c:pt>
                <c:pt idx="38">
                  <c:v>1.8831863513063984</c:v>
                </c:pt>
                <c:pt idx="39">
                  <c:v>2.0005834702090608</c:v>
                </c:pt>
                <c:pt idx="40">
                  <c:v>1.7959105553606136</c:v>
                </c:pt>
                <c:pt idx="41">
                  <c:v>1.671194894390049</c:v>
                </c:pt>
                <c:pt idx="42">
                  <c:v>1.826331335037068</c:v>
                </c:pt>
                <c:pt idx="43">
                  <c:v>1.7376412106666406</c:v>
                </c:pt>
                <c:pt idx="44">
                  <c:v>1.6844977040391562</c:v>
                </c:pt>
                <c:pt idx="45">
                  <c:v>1.7339736996186295</c:v>
                </c:pt>
                <c:pt idx="46">
                  <c:v>2.0922903948629168</c:v>
                </c:pt>
                <c:pt idx="47">
                  <c:v>2.3195274699624457</c:v>
                </c:pt>
                <c:pt idx="48">
                  <c:v>2.599767976845202</c:v>
                </c:pt>
                <c:pt idx="49">
                  <c:v>2.3413166797595197</c:v>
                </c:pt>
                <c:pt idx="50">
                  <c:v>1.4940399642909163</c:v>
                </c:pt>
                <c:pt idx="51">
                  <c:v>0.31304729404111331</c:v>
                </c:pt>
                <c:pt idx="52">
                  <c:v>0.1982013035848551</c:v>
                </c:pt>
                <c:pt idx="53">
                  <c:v>0.71665628318304808</c:v>
                </c:pt>
                <c:pt idx="54">
                  <c:v>0.99686476258979972</c:v>
                </c:pt>
                <c:pt idx="55">
                  <c:v>1.2810698495523853</c:v>
                </c:pt>
                <c:pt idx="56">
                  <c:v>1.3910228912373812</c:v>
                </c:pt>
                <c:pt idx="57">
                  <c:v>1.2303863428671624</c:v>
                </c:pt>
                <c:pt idx="58">
                  <c:v>1.1757452138405844</c:v>
                </c:pt>
                <c:pt idx="59">
                  <c:v>1.3204191315779434</c:v>
                </c:pt>
                <c:pt idx="60">
                  <c:v>1.3738437137002402</c:v>
                </c:pt>
                <c:pt idx="61">
                  <c:v>1.6698167791706853</c:v>
                </c:pt>
                <c:pt idx="62">
                  <c:v>2.6678187820641908</c:v>
                </c:pt>
                <c:pt idx="63">
                  <c:v>4.1330771153605728</c:v>
                </c:pt>
                <c:pt idx="64">
                  <c:v>4.9182570894676259</c:v>
                </c:pt>
                <c:pt idx="65">
                  <c:v>5.2956326203499993</c:v>
                </c:pt>
                <c:pt idx="66">
                  <c:v>5.2451693813092337</c:v>
                </c:pt>
                <c:pt idx="67">
                  <c:v>5.1520153017939663</c:v>
                </c:pt>
                <c:pt idx="68">
                  <c:v>5.3512155909491321</c:v>
                </c:pt>
                <c:pt idx="69">
                  <c:v>6.2350423902980623</c:v>
                </c:pt>
                <c:pt idx="70">
                  <c:v>6.9019704037008633</c:v>
                </c:pt>
                <c:pt idx="71">
                  <c:v>7.1743402850655391</c:v>
                </c:pt>
                <c:pt idx="72">
                  <c:v>7.5588057269678322</c:v>
                </c:pt>
                <c:pt idx="73">
                  <c:v>7.9372787665178191</c:v>
                </c:pt>
                <c:pt idx="74">
                  <c:v>8.5722049660138531</c:v>
                </c:pt>
                <c:pt idx="75">
                  <c:v>8.2317507707772251</c:v>
                </c:pt>
                <c:pt idx="76">
                  <c:v>8.5381711956420645</c:v>
                </c:pt>
                <c:pt idx="77">
                  <c:v>8.9793611031057985</c:v>
                </c:pt>
                <c:pt idx="78">
                  <c:v>8.4625767277300987</c:v>
                </c:pt>
                <c:pt idx="79">
                  <c:v>8.222579178218826</c:v>
                </c:pt>
                <c:pt idx="80">
                  <c:v>8.1921068964258215</c:v>
                </c:pt>
                <c:pt idx="81">
                  <c:v>7.7588139576930004</c:v>
                </c:pt>
                <c:pt idx="82">
                  <c:v>7.122856456533988</c:v>
                </c:pt>
                <c:pt idx="83">
                  <c:v>6.4046004023571523</c:v>
                </c:pt>
                <c:pt idx="84">
                  <c:v>6.327178517960097</c:v>
                </c:pt>
                <c:pt idx="85">
                  <c:v>5.9578207381370873</c:v>
                </c:pt>
                <c:pt idx="86">
                  <c:v>4.9177193628899607</c:v>
                </c:pt>
                <c:pt idx="87">
                  <c:v>4.9500798791243694</c:v>
                </c:pt>
                <c:pt idx="88">
                  <c:v>4.131851231385042</c:v>
                </c:pt>
                <c:pt idx="89">
                  <c:v>3.070617072997095</c:v>
                </c:pt>
                <c:pt idx="90">
                  <c:v>3.2877492684282972</c:v>
                </c:pt>
                <c:pt idx="91">
                  <c:v>3.7225048035052888</c:v>
                </c:pt>
                <c:pt idx="92">
                  <c:v>3.6872066381192559</c:v>
                </c:pt>
                <c:pt idx="93">
                  <c:v>3.2512659098611785</c:v>
                </c:pt>
                <c:pt idx="94">
                  <c:v>3.1333462745911866</c:v>
                </c:pt>
                <c:pt idx="95">
                  <c:v>3.3159099427102934</c:v>
                </c:pt>
                <c:pt idx="96">
                  <c:v>3.0883429864855705</c:v>
                </c:pt>
                <c:pt idx="97">
                  <c:v>3.1570741416486969</c:v>
                </c:pt>
                <c:pt idx="98">
                  <c:v>3.4868349120836584</c:v>
                </c:pt>
                <c:pt idx="99">
                  <c:v>3.3607951262196734</c:v>
                </c:pt>
                <c:pt idx="100">
                  <c:v>3.244278584003113</c:v>
                </c:pt>
                <c:pt idx="101">
                  <c:v>2.9702579486470926</c:v>
                </c:pt>
                <c:pt idx="102">
                  <c:v>2.9414757935583014</c:v>
                </c:pt>
                <c:pt idx="103">
                  <c:v>2.6071444906920371</c:v>
                </c:pt>
                <c:pt idx="104">
                  <c:v>2.4264830315416708</c:v>
                </c:pt>
                <c:pt idx="105">
                  <c:v>2.5788440538713431</c:v>
                </c:pt>
                <c:pt idx="106">
                  <c:v>2.7194724612848331</c:v>
                </c:pt>
                <c:pt idx="107">
                  <c:v>2.8706909675099812</c:v>
                </c:pt>
                <c:pt idx="108">
                  <c:v>2.9909783078999608</c:v>
                </c:pt>
                <c:pt idx="109">
                  <c:v>2.8015834477613355</c:v>
                </c:pt>
                <c:pt idx="110">
                  <c:v>2.3819814628055491</c:v>
                </c:pt>
                <c:pt idx="111">
                  <c:v>2.3253882302578299</c:v>
                </c:pt>
                <c:pt idx="112">
                  <c:v>2.3772651073680873</c:v>
                </c:pt>
                <c:pt idx="113">
                  <c:v>2.6804538659102262</c:v>
                </c:pt>
                <c:pt idx="114">
                  <c:v>2.7426180521671339</c:v>
                </c:pt>
                <c:pt idx="115">
                  <c:v>2.9385917430316155</c:v>
                </c:pt>
                <c:pt idx="116">
                  <c:v>3.0225715847133294</c:v>
                </c:pt>
                <c:pt idx="117">
                  <c:v>0</c:v>
                </c:pt>
                <c:pt idx="118">
                  <c:v>2.6964439164939513</c:v>
                </c:pt>
                <c:pt idx="119">
                  <c:v>2.6533041145577529</c:v>
                </c:pt>
                <c:pt idx="120">
                  <c:v>2.3912014321500141</c:v>
                </c:pt>
                <c:pt idx="121">
                  <c:v>2.4340041103732224</c:v>
                </c:pt>
                <c:pt idx="122">
                  <c:v>3.2859577528651984</c:v>
                </c:pt>
                <c:pt idx="123">
                  <c:v>3.7792458367415627</c:v>
                </c:pt>
                <c:pt idx="124">
                  <c:v>4.166614684049641</c:v>
                </c:pt>
                <c:pt idx="125">
                  <c:v>3.4635307293854112</c:v>
                </c:pt>
                <c:pt idx="126">
                  <c:v>3.3038560507063108</c:v>
                </c:pt>
                <c:pt idx="127">
                  <c:v>3.353016322755642</c:v>
                </c:pt>
                <c:pt idx="128">
                  <c:v>3.7172508442689933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535-2347-A495-C6B503933023}"/>
            </c:ext>
          </c:extLst>
        </c:ser>
        <c:ser>
          <c:idx val="1"/>
          <c:order val="1"/>
          <c:tx>
            <c:v>Real Wage Growth (%)</c:v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Sheet1!$A$14:$A$142</c:f>
              <c:numCache>
                <c:formatCode>m/d/yy</c:formatCode>
                <c:ptCount val="129"/>
                <c:pt idx="0">
                  <c:v>42370</c:v>
                </c:pt>
                <c:pt idx="1">
                  <c:v>42401</c:v>
                </c:pt>
                <c:pt idx="2">
                  <c:v>42430</c:v>
                </c:pt>
                <c:pt idx="3">
                  <c:v>42461</c:v>
                </c:pt>
                <c:pt idx="4">
                  <c:v>42491</c:v>
                </c:pt>
                <c:pt idx="5">
                  <c:v>42522</c:v>
                </c:pt>
                <c:pt idx="6">
                  <c:v>42552</c:v>
                </c:pt>
                <c:pt idx="7">
                  <c:v>42583</c:v>
                </c:pt>
                <c:pt idx="8">
                  <c:v>42614</c:v>
                </c:pt>
                <c:pt idx="9">
                  <c:v>42644</c:v>
                </c:pt>
                <c:pt idx="10">
                  <c:v>42675</c:v>
                </c:pt>
                <c:pt idx="11">
                  <c:v>42705</c:v>
                </c:pt>
                <c:pt idx="12">
                  <c:v>42736</c:v>
                </c:pt>
                <c:pt idx="13">
                  <c:v>42767</c:v>
                </c:pt>
                <c:pt idx="14">
                  <c:v>42795</c:v>
                </c:pt>
                <c:pt idx="15">
                  <c:v>42826</c:v>
                </c:pt>
                <c:pt idx="16">
                  <c:v>42856</c:v>
                </c:pt>
                <c:pt idx="17">
                  <c:v>42887</c:v>
                </c:pt>
                <c:pt idx="18">
                  <c:v>42917</c:v>
                </c:pt>
                <c:pt idx="19">
                  <c:v>42948</c:v>
                </c:pt>
                <c:pt idx="20">
                  <c:v>42979</c:v>
                </c:pt>
                <c:pt idx="21">
                  <c:v>43009</c:v>
                </c:pt>
                <c:pt idx="22">
                  <c:v>43040</c:v>
                </c:pt>
                <c:pt idx="23">
                  <c:v>43070</c:v>
                </c:pt>
                <c:pt idx="24">
                  <c:v>43101</c:v>
                </c:pt>
                <c:pt idx="25">
                  <c:v>43132</c:v>
                </c:pt>
                <c:pt idx="26">
                  <c:v>43160</c:v>
                </c:pt>
                <c:pt idx="27">
                  <c:v>43191</c:v>
                </c:pt>
                <c:pt idx="28">
                  <c:v>43221</c:v>
                </c:pt>
                <c:pt idx="29">
                  <c:v>43252</c:v>
                </c:pt>
                <c:pt idx="30">
                  <c:v>43282</c:v>
                </c:pt>
                <c:pt idx="31">
                  <c:v>43313</c:v>
                </c:pt>
                <c:pt idx="32">
                  <c:v>43344</c:v>
                </c:pt>
                <c:pt idx="33">
                  <c:v>43374</c:v>
                </c:pt>
                <c:pt idx="34">
                  <c:v>43405</c:v>
                </c:pt>
                <c:pt idx="35">
                  <c:v>43435</c:v>
                </c:pt>
                <c:pt idx="36">
                  <c:v>43466</c:v>
                </c:pt>
                <c:pt idx="37">
                  <c:v>43497</c:v>
                </c:pt>
                <c:pt idx="38">
                  <c:v>43525</c:v>
                </c:pt>
                <c:pt idx="39">
                  <c:v>43556</c:v>
                </c:pt>
                <c:pt idx="40">
                  <c:v>43586</c:v>
                </c:pt>
                <c:pt idx="41">
                  <c:v>43617</c:v>
                </c:pt>
                <c:pt idx="42">
                  <c:v>43647</c:v>
                </c:pt>
                <c:pt idx="43">
                  <c:v>43678</c:v>
                </c:pt>
                <c:pt idx="44">
                  <c:v>43709</c:v>
                </c:pt>
                <c:pt idx="45">
                  <c:v>43739</c:v>
                </c:pt>
                <c:pt idx="46">
                  <c:v>43770</c:v>
                </c:pt>
                <c:pt idx="47">
                  <c:v>43800</c:v>
                </c:pt>
                <c:pt idx="48">
                  <c:v>43831</c:v>
                </c:pt>
                <c:pt idx="49">
                  <c:v>43862</c:v>
                </c:pt>
                <c:pt idx="50">
                  <c:v>43891</c:v>
                </c:pt>
                <c:pt idx="51">
                  <c:v>43922</c:v>
                </c:pt>
                <c:pt idx="52">
                  <c:v>43952</c:v>
                </c:pt>
                <c:pt idx="53">
                  <c:v>43983</c:v>
                </c:pt>
                <c:pt idx="54">
                  <c:v>44013</c:v>
                </c:pt>
                <c:pt idx="55">
                  <c:v>44044</c:v>
                </c:pt>
                <c:pt idx="56">
                  <c:v>44075</c:v>
                </c:pt>
                <c:pt idx="57">
                  <c:v>44105</c:v>
                </c:pt>
                <c:pt idx="58">
                  <c:v>44136</c:v>
                </c:pt>
                <c:pt idx="59">
                  <c:v>44166</c:v>
                </c:pt>
                <c:pt idx="60">
                  <c:v>44197</c:v>
                </c:pt>
                <c:pt idx="61">
                  <c:v>44228</c:v>
                </c:pt>
                <c:pt idx="62">
                  <c:v>44256</c:v>
                </c:pt>
                <c:pt idx="63">
                  <c:v>44287</c:v>
                </c:pt>
                <c:pt idx="64">
                  <c:v>44317</c:v>
                </c:pt>
                <c:pt idx="65">
                  <c:v>44348</c:v>
                </c:pt>
                <c:pt idx="66">
                  <c:v>44378</c:v>
                </c:pt>
                <c:pt idx="67">
                  <c:v>44409</c:v>
                </c:pt>
                <c:pt idx="68">
                  <c:v>44440</c:v>
                </c:pt>
                <c:pt idx="69">
                  <c:v>44470</c:v>
                </c:pt>
                <c:pt idx="70">
                  <c:v>44501</c:v>
                </c:pt>
                <c:pt idx="71">
                  <c:v>44531</c:v>
                </c:pt>
                <c:pt idx="72">
                  <c:v>44562</c:v>
                </c:pt>
                <c:pt idx="73">
                  <c:v>44593</c:v>
                </c:pt>
                <c:pt idx="74">
                  <c:v>44621</c:v>
                </c:pt>
                <c:pt idx="75">
                  <c:v>44652</c:v>
                </c:pt>
                <c:pt idx="76">
                  <c:v>44682</c:v>
                </c:pt>
                <c:pt idx="77">
                  <c:v>44713</c:v>
                </c:pt>
                <c:pt idx="78">
                  <c:v>44743</c:v>
                </c:pt>
                <c:pt idx="79">
                  <c:v>44774</c:v>
                </c:pt>
                <c:pt idx="80">
                  <c:v>44805</c:v>
                </c:pt>
                <c:pt idx="81">
                  <c:v>44835</c:v>
                </c:pt>
                <c:pt idx="82">
                  <c:v>44866</c:v>
                </c:pt>
                <c:pt idx="83">
                  <c:v>44896</c:v>
                </c:pt>
                <c:pt idx="84">
                  <c:v>44927</c:v>
                </c:pt>
                <c:pt idx="85">
                  <c:v>44958</c:v>
                </c:pt>
                <c:pt idx="86">
                  <c:v>44986</c:v>
                </c:pt>
                <c:pt idx="87">
                  <c:v>45017</c:v>
                </c:pt>
                <c:pt idx="88">
                  <c:v>45047</c:v>
                </c:pt>
                <c:pt idx="89">
                  <c:v>45078</c:v>
                </c:pt>
                <c:pt idx="90">
                  <c:v>45108</c:v>
                </c:pt>
                <c:pt idx="91">
                  <c:v>45139</c:v>
                </c:pt>
                <c:pt idx="92">
                  <c:v>45170</c:v>
                </c:pt>
                <c:pt idx="93">
                  <c:v>45200</c:v>
                </c:pt>
                <c:pt idx="94">
                  <c:v>45231</c:v>
                </c:pt>
                <c:pt idx="95">
                  <c:v>45261</c:v>
                </c:pt>
                <c:pt idx="96">
                  <c:v>45292</c:v>
                </c:pt>
                <c:pt idx="97">
                  <c:v>45323</c:v>
                </c:pt>
                <c:pt idx="98">
                  <c:v>45352</c:v>
                </c:pt>
                <c:pt idx="99">
                  <c:v>45383</c:v>
                </c:pt>
                <c:pt idx="100">
                  <c:v>45413</c:v>
                </c:pt>
                <c:pt idx="101">
                  <c:v>45444</c:v>
                </c:pt>
                <c:pt idx="102">
                  <c:v>45474</c:v>
                </c:pt>
                <c:pt idx="103">
                  <c:v>45505</c:v>
                </c:pt>
                <c:pt idx="104">
                  <c:v>45536</c:v>
                </c:pt>
                <c:pt idx="105">
                  <c:v>45566</c:v>
                </c:pt>
                <c:pt idx="106">
                  <c:v>45597</c:v>
                </c:pt>
                <c:pt idx="107">
                  <c:v>45627</c:v>
                </c:pt>
                <c:pt idx="108">
                  <c:v>45658</c:v>
                </c:pt>
                <c:pt idx="109">
                  <c:v>45689</c:v>
                </c:pt>
                <c:pt idx="110">
                  <c:v>45717</c:v>
                </c:pt>
                <c:pt idx="111">
                  <c:v>45748</c:v>
                </c:pt>
                <c:pt idx="112">
                  <c:v>45778</c:v>
                </c:pt>
                <c:pt idx="113">
                  <c:v>45809</c:v>
                </c:pt>
                <c:pt idx="114">
                  <c:v>45839</c:v>
                </c:pt>
                <c:pt idx="115">
                  <c:v>45870</c:v>
                </c:pt>
                <c:pt idx="116">
                  <c:v>45901</c:v>
                </c:pt>
                <c:pt idx="117">
                  <c:v>45931</c:v>
                </c:pt>
                <c:pt idx="118">
                  <c:v>45962</c:v>
                </c:pt>
                <c:pt idx="119">
                  <c:v>45992</c:v>
                </c:pt>
                <c:pt idx="120">
                  <c:v>46023</c:v>
                </c:pt>
                <c:pt idx="121">
                  <c:v>46054</c:v>
                </c:pt>
                <c:pt idx="122">
                  <c:v>46082</c:v>
                </c:pt>
                <c:pt idx="123">
                  <c:v>46113</c:v>
                </c:pt>
                <c:pt idx="124">
                  <c:v>46143</c:v>
                </c:pt>
                <c:pt idx="125">
                  <c:v>46174</c:v>
                </c:pt>
                <c:pt idx="126">
                  <c:v>46204</c:v>
                </c:pt>
                <c:pt idx="127">
                  <c:v>46235</c:v>
                </c:pt>
                <c:pt idx="128">
                  <c:v>46266</c:v>
                </c:pt>
              </c:numCache>
            </c:numRef>
          </c:cat>
          <c:val>
            <c:numRef>
              <c:f>Sheet1!$F$14:$F$142</c:f>
              <c:numCache>
                <c:formatCode>0.00</c:formatCode>
                <c:ptCount val="129"/>
                <c:pt idx="0">
                  <c:v>1.2929802618533826</c:v>
                </c:pt>
                <c:pt idx="1">
                  <c:v>1.5198371141126765</c:v>
                </c:pt>
                <c:pt idx="2">
                  <c:v>1.5094126587481771</c:v>
                </c:pt>
                <c:pt idx="3">
                  <c:v>1.3824767518959558</c:v>
                </c:pt>
                <c:pt idx="4">
                  <c:v>1.3498967371238901</c:v>
                </c:pt>
                <c:pt idx="5">
                  <c:v>1.5075662541184309</c:v>
                </c:pt>
                <c:pt idx="6">
                  <c:v>1.8346179422783493</c:v>
                </c:pt>
                <c:pt idx="7">
                  <c:v>1.3606043513903154</c:v>
                </c:pt>
                <c:pt idx="8">
                  <c:v>1.0633231692781964</c:v>
                </c:pt>
                <c:pt idx="9">
                  <c:v>1.0737501890223156</c:v>
                </c:pt>
                <c:pt idx="10">
                  <c:v>0.87518295432296167</c:v>
                </c:pt>
                <c:pt idx="11">
                  <c:v>0.62936341730710499</c:v>
                </c:pt>
                <c:pt idx="12">
                  <c:v>-2.6480649174931425E-2</c:v>
                </c:pt>
                <c:pt idx="13">
                  <c:v>-8.9179297590802342E-2</c:v>
                </c:pt>
                <c:pt idx="14">
                  <c:v>0.14849885083922931</c:v>
                </c:pt>
                <c:pt idx="15">
                  <c:v>0.36192452673782238</c:v>
                </c:pt>
                <c:pt idx="16">
                  <c:v>0.59546457786956442</c:v>
                </c:pt>
                <c:pt idx="17">
                  <c:v>0.84364208610556712</c:v>
                </c:pt>
                <c:pt idx="18">
                  <c:v>0.82967293289983868</c:v>
                </c:pt>
                <c:pt idx="19">
                  <c:v>0.62688583748347071</c:v>
                </c:pt>
                <c:pt idx="20">
                  <c:v>0.60029147187199428</c:v>
                </c:pt>
                <c:pt idx="21">
                  <c:v>0.28998467565366504</c:v>
                </c:pt>
                <c:pt idx="22">
                  <c:v>0.29220056734979849</c:v>
                </c:pt>
                <c:pt idx="23">
                  <c:v>0.55776505220657135</c:v>
                </c:pt>
                <c:pt idx="24">
                  <c:v>0.60489860337964441</c:v>
                </c:pt>
                <c:pt idx="25">
                  <c:v>0.29975015314736009</c:v>
                </c:pt>
                <c:pt idx="26">
                  <c:v>0.4917509242183371</c:v>
                </c:pt>
                <c:pt idx="27">
                  <c:v>0.3097381618743178</c:v>
                </c:pt>
                <c:pt idx="28">
                  <c:v>0.15166907361097159</c:v>
                </c:pt>
                <c:pt idx="29">
                  <c:v>0.12126113706418806</c:v>
                </c:pt>
                <c:pt idx="30">
                  <c:v>-7.6078381217592472E-3</c:v>
                </c:pt>
                <c:pt idx="31">
                  <c:v>0.52854509640325453</c:v>
                </c:pt>
                <c:pt idx="32">
                  <c:v>0.78294404085537117</c:v>
                </c:pt>
                <c:pt idx="33">
                  <c:v>0.77175403652602892</c:v>
                </c:pt>
                <c:pt idx="34">
                  <c:v>1.2176326111704494</c:v>
                </c:pt>
                <c:pt idx="35">
                  <c:v>1.4606727780114293</c:v>
                </c:pt>
                <c:pt idx="36">
                  <c:v>1.7424777525140378</c:v>
                </c:pt>
                <c:pt idx="37">
                  <c:v>2.0034389931417262</c:v>
                </c:pt>
                <c:pt idx="38">
                  <c:v>1.5147316323144144</c:v>
                </c:pt>
                <c:pt idx="39">
                  <c:v>1.244675548410612</c:v>
                </c:pt>
                <c:pt idx="40">
                  <c:v>1.5127265287175007</c:v>
                </c:pt>
                <c:pt idx="41">
                  <c:v>1.7767299475190956</c:v>
                </c:pt>
                <c:pt idx="42">
                  <c:v>1.5766088802943168</c:v>
                </c:pt>
                <c:pt idx="43">
                  <c:v>1.6515223370858978</c:v>
                </c:pt>
                <c:pt idx="44">
                  <c:v>1.3671433683208001</c:v>
                </c:pt>
                <c:pt idx="45">
                  <c:v>1.4200655074209534</c:v>
                </c:pt>
                <c:pt idx="46">
                  <c:v>1.16325432847868</c:v>
                </c:pt>
                <c:pt idx="47">
                  <c:v>0.64093248521137625</c:v>
                </c:pt>
                <c:pt idx="48">
                  <c:v>0.43354229935179678</c:v>
                </c:pt>
                <c:pt idx="49">
                  <c:v>0.71171995501928542</c:v>
                </c:pt>
                <c:pt idx="50">
                  <c:v>1.9340327643140531</c:v>
                </c:pt>
                <c:pt idx="51">
                  <c:v>7.7591006188997946</c:v>
                </c:pt>
                <c:pt idx="52">
                  <c:v>6.3888489704257756</c:v>
                </c:pt>
                <c:pt idx="53">
                  <c:v>4.2936882113424168</c:v>
                </c:pt>
                <c:pt idx="54">
                  <c:v>3.8170289660144352</c:v>
                </c:pt>
                <c:pt idx="55">
                  <c:v>3.4718941261940861</c:v>
                </c:pt>
                <c:pt idx="56">
                  <c:v>3.3563239650142851</c:v>
                </c:pt>
                <c:pt idx="57">
                  <c:v>3.3320164156404708</c:v>
                </c:pt>
                <c:pt idx="58">
                  <c:v>3.3717673561503902</c:v>
                </c:pt>
                <c:pt idx="59">
                  <c:v>4.0176515362962517</c:v>
                </c:pt>
                <c:pt idx="60">
                  <c:v>3.849388482666094</c:v>
                </c:pt>
                <c:pt idx="61">
                  <c:v>3.5615320627421898</c:v>
                </c:pt>
                <c:pt idx="62">
                  <c:v>1.8088122624928094</c:v>
                </c:pt>
                <c:pt idx="63">
                  <c:v>-3.3936153122598567</c:v>
                </c:pt>
                <c:pt idx="64">
                  <c:v>-2.4748678177415662</c:v>
                </c:pt>
                <c:pt idx="65">
                  <c:v>-1.2796052994455409</c:v>
                </c:pt>
                <c:pt idx="66">
                  <c:v>-0.87792313932604227</c:v>
                </c:pt>
                <c:pt idx="67">
                  <c:v>-0.73954941168816735</c:v>
                </c:pt>
                <c:pt idx="68">
                  <c:v>-0.3510669893933227</c:v>
                </c:pt>
                <c:pt idx="69">
                  <c:v>-0.77060996877693633</c:v>
                </c:pt>
                <c:pt idx="70">
                  <c:v>-1.4383251573929945</c:v>
                </c:pt>
                <c:pt idx="71">
                  <c:v>-2.0771412375482634</c:v>
                </c:pt>
                <c:pt idx="72">
                  <c:v>-1.8400351135787751</c:v>
                </c:pt>
                <c:pt idx="73">
                  <c:v>-2.4515139091555005</c:v>
                </c:pt>
                <c:pt idx="74">
                  <c:v>-2.46665255877071</c:v>
                </c:pt>
                <c:pt idx="75">
                  <c:v>-2.2858121078863647</c:v>
                </c:pt>
                <c:pt idx="76">
                  <c:v>-2.7463045699215538</c:v>
                </c:pt>
                <c:pt idx="77">
                  <c:v>-3.281915562491533</c:v>
                </c:pt>
                <c:pt idx="78">
                  <c:v>-2.7503723062231922</c:v>
                </c:pt>
                <c:pt idx="79">
                  <c:v>-2.6144883896206839</c:v>
                </c:pt>
                <c:pt idx="80">
                  <c:v>-2.8280838009463793</c:v>
                </c:pt>
                <c:pt idx="81">
                  <c:v>-2.5512345072806197</c:v>
                </c:pt>
                <c:pt idx="82">
                  <c:v>-1.8965122088383413</c:v>
                </c:pt>
                <c:pt idx="83">
                  <c:v>-1.3784386122575487</c:v>
                </c:pt>
                <c:pt idx="84">
                  <c:v>-1.7244016604601509</c:v>
                </c:pt>
                <c:pt idx="85">
                  <c:v>-1.1187289248195564</c:v>
                </c:pt>
                <c:pt idx="86">
                  <c:v>-0.2812469192504885</c:v>
                </c:pt>
                <c:pt idx="87">
                  <c:v>-0.33404501007563425</c:v>
                </c:pt>
                <c:pt idx="88">
                  <c:v>0.22041237374705869</c:v>
                </c:pt>
                <c:pt idx="89">
                  <c:v>1.5418702421433172</c:v>
                </c:pt>
                <c:pt idx="90">
                  <c:v>1.3374200955892368</c:v>
                </c:pt>
                <c:pt idx="91">
                  <c:v>0.72046619020100788</c:v>
                </c:pt>
                <c:pt idx="92">
                  <c:v>0.70793681456167157</c:v>
                </c:pt>
                <c:pt idx="93">
                  <c:v>0.93840745470685771</c:v>
                </c:pt>
                <c:pt idx="94">
                  <c:v>0.95022539443578857</c:v>
                </c:pt>
                <c:pt idx="95">
                  <c:v>0.75733806483559984</c:v>
                </c:pt>
                <c:pt idx="96">
                  <c:v>1.2639014160994666</c:v>
                </c:pt>
                <c:pt idx="97">
                  <c:v>0.94579638047369574</c:v>
                </c:pt>
                <c:pt idx="98">
                  <c:v>0.6387730983639095</c:v>
                </c:pt>
                <c:pt idx="99">
                  <c:v>0.59758376654837075</c:v>
                </c:pt>
                <c:pt idx="100">
                  <c:v>0.87653781861030122</c:v>
                </c:pt>
                <c:pt idx="101">
                  <c:v>0.92047805922106374</c:v>
                </c:pt>
                <c:pt idx="102">
                  <c:v>0.67242303672352399</c:v>
                </c:pt>
                <c:pt idx="103">
                  <c:v>1.2838453003565009</c:v>
                </c:pt>
                <c:pt idx="104">
                  <c:v>1.4489724236074419</c:v>
                </c:pt>
                <c:pt idx="105">
                  <c:v>1.4334843937257702</c:v>
                </c:pt>
                <c:pt idx="106">
                  <c:v>1.4266867505410064</c:v>
                </c:pt>
                <c:pt idx="107">
                  <c:v>1.1783064753921213</c:v>
                </c:pt>
                <c:pt idx="108">
                  <c:v>0.95493048261454661</c:v>
                </c:pt>
                <c:pt idx="109">
                  <c:v>1.2762195544961052</c:v>
                </c:pt>
                <c:pt idx="110">
                  <c:v>1.7889698212414817</c:v>
                </c:pt>
                <c:pt idx="111">
                  <c:v>1.5510861480634075</c:v>
                </c:pt>
                <c:pt idx="112">
                  <c:v>1.5693762152110047</c:v>
                </c:pt>
                <c:pt idx="113">
                  <c:v>1.1448987815445122</c:v>
                </c:pt>
                <c:pt idx="114">
                  <c:v>1.1871934867304423</c:v>
                </c:pt>
                <c:pt idx="115">
                  <c:v>1.0068356637663145</c:v>
                </c:pt>
                <c:pt idx="116">
                  <c:v>0.80153203930286576</c:v>
                </c:pt>
                <c:pt idx="117">
                  <c:v>0</c:v>
                </c:pt>
                <c:pt idx="118">
                  <c:v>1.2036836973382536</c:v>
                </c:pt>
                <c:pt idx="119">
                  <c:v>1.0454899020044373</c:v>
                </c:pt>
                <c:pt idx="120">
                  <c:v>1.2344151438236084</c:v>
                </c:pt>
                <c:pt idx="121">
                  <c:v>1.2365112854438642</c:v>
                </c:pt>
                <c:pt idx="122">
                  <c:v>0.14328575176780767</c:v>
                </c:pt>
                <c:pt idx="123">
                  <c:v>-0.20024935008672307</c:v>
                </c:pt>
                <c:pt idx="124">
                  <c:v>-0.79818643767726183</c:v>
                </c:pt>
                <c:pt idx="125">
                  <c:v>-7.7991196500015736E-2</c:v>
                </c:pt>
                <c:pt idx="126">
                  <c:v>-9.267784807532875E-2</c:v>
                </c:pt>
                <c:pt idx="127">
                  <c:v>-0.23217836767406297</c:v>
                </c:pt>
                <c:pt idx="128">
                  <c:v>-0.66790015919935275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535-2347-A495-C6B5039330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43272256"/>
        <c:axId val="2143269120"/>
      </c:lineChart>
      <c:dateAx>
        <c:axId val="214327225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43269120"/>
        <c:crosses val="autoZero"/>
        <c:auto val="0"/>
        <c:lblOffset val="100"/>
        <c:baseTimeUnit val="months"/>
        <c:majorUnit val="1"/>
        <c:majorTimeUnit val="years"/>
      </c:dateAx>
      <c:valAx>
        <c:axId val="2143269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Year-Over-year change 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432722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U.S. Nominal vs. Real Wage Index (2015–2026)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'Wage Index Chart'!$B$1</c:f>
              <c:strCache>
                <c:ptCount val="1"/>
                <c:pt idx="0">
                  <c:v>NOMINAL WAGE INDEX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'Wage Index Chart'!$A$2:$A$142</c:f>
              <c:numCache>
                <c:formatCode>m/d/yy</c:formatCode>
                <c:ptCount val="141"/>
                <c:pt idx="0">
                  <c:v>42005</c:v>
                </c:pt>
                <c:pt idx="1">
                  <c:v>42036</c:v>
                </c:pt>
                <c:pt idx="2">
                  <c:v>42064</c:v>
                </c:pt>
                <c:pt idx="3">
                  <c:v>42095</c:v>
                </c:pt>
                <c:pt idx="4">
                  <c:v>42125</c:v>
                </c:pt>
                <c:pt idx="5">
                  <c:v>42156</c:v>
                </c:pt>
                <c:pt idx="6">
                  <c:v>42186</c:v>
                </c:pt>
                <c:pt idx="7">
                  <c:v>42217</c:v>
                </c:pt>
                <c:pt idx="8">
                  <c:v>42248</c:v>
                </c:pt>
                <c:pt idx="9">
                  <c:v>42278</c:v>
                </c:pt>
                <c:pt idx="10">
                  <c:v>42309</c:v>
                </c:pt>
                <c:pt idx="11">
                  <c:v>42339</c:v>
                </c:pt>
                <c:pt idx="12">
                  <c:v>42370</c:v>
                </c:pt>
                <c:pt idx="13">
                  <c:v>42401</c:v>
                </c:pt>
                <c:pt idx="14">
                  <c:v>42430</c:v>
                </c:pt>
                <c:pt idx="15">
                  <c:v>42461</c:v>
                </c:pt>
                <c:pt idx="16">
                  <c:v>42491</c:v>
                </c:pt>
                <c:pt idx="17">
                  <c:v>42522</c:v>
                </c:pt>
                <c:pt idx="18">
                  <c:v>42552</c:v>
                </c:pt>
                <c:pt idx="19">
                  <c:v>42583</c:v>
                </c:pt>
                <c:pt idx="20">
                  <c:v>42614</c:v>
                </c:pt>
                <c:pt idx="21">
                  <c:v>42644</c:v>
                </c:pt>
                <c:pt idx="22">
                  <c:v>42675</c:v>
                </c:pt>
                <c:pt idx="23">
                  <c:v>42705</c:v>
                </c:pt>
                <c:pt idx="24">
                  <c:v>42736</c:v>
                </c:pt>
                <c:pt idx="25">
                  <c:v>42767</c:v>
                </c:pt>
                <c:pt idx="26">
                  <c:v>42795</c:v>
                </c:pt>
                <c:pt idx="27">
                  <c:v>42826</c:v>
                </c:pt>
                <c:pt idx="28">
                  <c:v>42856</c:v>
                </c:pt>
                <c:pt idx="29">
                  <c:v>42887</c:v>
                </c:pt>
                <c:pt idx="30">
                  <c:v>42917</c:v>
                </c:pt>
                <c:pt idx="31">
                  <c:v>42948</c:v>
                </c:pt>
                <c:pt idx="32">
                  <c:v>42979</c:v>
                </c:pt>
                <c:pt idx="33">
                  <c:v>43009</c:v>
                </c:pt>
                <c:pt idx="34">
                  <c:v>43040</c:v>
                </c:pt>
                <c:pt idx="35">
                  <c:v>43070</c:v>
                </c:pt>
                <c:pt idx="36">
                  <c:v>43101</c:v>
                </c:pt>
                <c:pt idx="37">
                  <c:v>43132</c:v>
                </c:pt>
                <c:pt idx="38">
                  <c:v>43160</c:v>
                </c:pt>
                <c:pt idx="39">
                  <c:v>43191</c:v>
                </c:pt>
                <c:pt idx="40">
                  <c:v>43221</c:v>
                </c:pt>
                <c:pt idx="41">
                  <c:v>43252</c:v>
                </c:pt>
                <c:pt idx="42">
                  <c:v>43282</c:v>
                </c:pt>
                <c:pt idx="43">
                  <c:v>43313</c:v>
                </c:pt>
                <c:pt idx="44">
                  <c:v>43344</c:v>
                </c:pt>
                <c:pt idx="45">
                  <c:v>43374</c:v>
                </c:pt>
                <c:pt idx="46">
                  <c:v>43405</c:v>
                </c:pt>
                <c:pt idx="47">
                  <c:v>43435</c:v>
                </c:pt>
                <c:pt idx="48">
                  <c:v>43466</c:v>
                </c:pt>
                <c:pt idx="49">
                  <c:v>43497</c:v>
                </c:pt>
                <c:pt idx="50">
                  <c:v>43525</c:v>
                </c:pt>
                <c:pt idx="51">
                  <c:v>43556</c:v>
                </c:pt>
                <c:pt idx="52">
                  <c:v>43586</c:v>
                </c:pt>
                <c:pt idx="53">
                  <c:v>43617</c:v>
                </c:pt>
                <c:pt idx="54">
                  <c:v>43647</c:v>
                </c:pt>
                <c:pt idx="55">
                  <c:v>43678</c:v>
                </c:pt>
                <c:pt idx="56">
                  <c:v>43709</c:v>
                </c:pt>
                <c:pt idx="57">
                  <c:v>43739</c:v>
                </c:pt>
                <c:pt idx="58">
                  <c:v>43770</c:v>
                </c:pt>
                <c:pt idx="59">
                  <c:v>43800</c:v>
                </c:pt>
                <c:pt idx="60">
                  <c:v>43831</c:v>
                </c:pt>
                <c:pt idx="61">
                  <c:v>43862</c:v>
                </c:pt>
                <c:pt idx="62">
                  <c:v>43891</c:v>
                </c:pt>
                <c:pt idx="63">
                  <c:v>43922</c:v>
                </c:pt>
                <c:pt idx="64">
                  <c:v>43952</c:v>
                </c:pt>
                <c:pt idx="65">
                  <c:v>43983</c:v>
                </c:pt>
                <c:pt idx="66">
                  <c:v>44013</c:v>
                </c:pt>
                <c:pt idx="67">
                  <c:v>44044</c:v>
                </c:pt>
                <c:pt idx="68">
                  <c:v>44075</c:v>
                </c:pt>
                <c:pt idx="69">
                  <c:v>44105</c:v>
                </c:pt>
                <c:pt idx="70">
                  <c:v>44136</c:v>
                </c:pt>
                <c:pt idx="71">
                  <c:v>44166</c:v>
                </c:pt>
                <c:pt idx="72">
                  <c:v>44197</c:v>
                </c:pt>
                <c:pt idx="73">
                  <c:v>44228</c:v>
                </c:pt>
                <c:pt idx="74">
                  <c:v>44256</c:v>
                </c:pt>
                <c:pt idx="75">
                  <c:v>44287</c:v>
                </c:pt>
                <c:pt idx="76">
                  <c:v>44317</c:v>
                </c:pt>
                <c:pt idx="77">
                  <c:v>44348</c:v>
                </c:pt>
                <c:pt idx="78">
                  <c:v>44378</c:v>
                </c:pt>
                <c:pt idx="79">
                  <c:v>44409</c:v>
                </c:pt>
                <c:pt idx="80">
                  <c:v>44440</c:v>
                </c:pt>
                <c:pt idx="81">
                  <c:v>44470</c:v>
                </c:pt>
                <c:pt idx="82">
                  <c:v>44501</c:v>
                </c:pt>
                <c:pt idx="83">
                  <c:v>44531</c:v>
                </c:pt>
                <c:pt idx="84">
                  <c:v>44562</c:v>
                </c:pt>
                <c:pt idx="85">
                  <c:v>44593</c:v>
                </c:pt>
                <c:pt idx="86">
                  <c:v>44621</c:v>
                </c:pt>
                <c:pt idx="87">
                  <c:v>44652</c:v>
                </c:pt>
                <c:pt idx="88">
                  <c:v>44682</c:v>
                </c:pt>
                <c:pt idx="89">
                  <c:v>44713</c:v>
                </c:pt>
                <c:pt idx="90">
                  <c:v>44743</c:v>
                </c:pt>
                <c:pt idx="91">
                  <c:v>44774</c:v>
                </c:pt>
                <c:pt idx="92">
                  <c:v>44805</c:v>
                </c:pt>
                <c:pt idx="93">
                  <c:v>44835</c:v>
                </c:pt>
                <c:pt idx="94">
                  <c:v>44866</c:v>
                </c:pt>
                <c:pt idx="95">
                  <c:v>44896</c:v>
                </c:pt>
                <c:pt idx="96">
                  <c:v>44927</c:v>
                </c:pt>
                <c:pt idx="97">
                  <c:v>44958</c:v>
                </c:pt>
                <c:pt idx="98">
                  <c:v>44986</c:v>
                </c:pt>
                <c:pt idx="99">
                  <c:v>45017</c:v>
                </c:pt>
                <c:pt idx="100">
                  <c:v>45047</c:v>
                </c:pt>
                <c:pt idx="101">
                  <c:v>45078</c:v>
                </c:pt>
                <c:pt idx="102">
                  <c:v>45108</c:v>
                </c:pt>
                <c:pt idx="103">
                  <c:v>45139</c:v>
                </c:pt>
                <c:pt idx="104">
                  <c:v>45170</c:v>
                </c:pt>
                <c:pt idx="105">
                  <c:v>45200</c:v>
                </c:pt>
                <c:pt idx="106">
                  <c:v>45231</c:v>
                </c:pt>
                <c:pt idx="107">
                  <c:v>45261</c:v>
                </c:pt>
                <c:pt idx="108">
                  <c:v>45292</c:v>
                </c:pt>
                <c:pt idx="109">
                  <c:v>45323</c:v>
                </c:pt>
                <c:pt idx="110">
                  <c:v>45352</c:v>
                </c:pt>
                <c:pt idx="111">
                  <c:v>45383</c:v>
                </c:pt>
                <c:pt idx="112">
                  <c:v>45413</c:v>
                </c:pt>
                <c:pt idx="113">
                  <c:v>45444</c:v>
                </c:pt>
                <c:pt idx="114">
                  <c:v>45474</c:v>
                </c:pt>
                <c:pt idx="115">
                  <c:v>45505</c:v>
                </c:pt>
                <c:pt idx="116">
                  <c:v>45536</c:v>
                </c:pt>
                <c:pt idx="117">
                  <c:v>45566</c:v>
                </c:pt>
                <c:pt idx="118">
                  <c:v>45597</c:v>
                </c:pt>
                <c:pt idx="119">
                  <c:v>45627</c:v>
                </c:pt>
                <c:pt idx="120">
                  <c:v>45658</c:v>
                </c:pt>
                <c:pt idx="121">
                  <c:v>45689</c:v>
                </c:pt>
                <c:pt idx="122">
                  <c:v>45717</c:v>
                </c:pt>
                <c:pt idx="123">
                  <c:v>45748</c:v>
                </c:pt>
                <c:pt idx="124">
                  <c:v>45778</c:v>
                </c:pt>
                <c:pt idx="125">
                  <c:v>45809</c:v>
                </c:pt>
                <c:pt idx="126">
                  <c:v>45839</c:v>
                </c:pt>
                <c:pt idx="127">
                  <c:v>45870</c:v>
                </c:pt>
                <c:pt idx="128">
                  <c:v>45901</c:v>
                </c:pt>
                <c:pt idx="129">
                  <c:v>45931</c:v>
                </c:pt>
                <c:pt idx="130">
                  <c:v>45962</c:v>
                </c:pt>
                <c:pt idx="131">
                  <c:v>45992</c:v>
                </c:pt>
                <c:pt idx="132">
                  <c:v>46023</c:v>
                </c:pt>
                <c:pt idx="133">
                  <c:v>46054</c:v>
                </c:pt>
                <c:pt idx="134">
                  <c:v>46082</c:v>
                </c:pt>
                <c:pt idx="135">
                  <c:v>46113</c:v>
                </c:pt>
                <c:pt idx="136">
                  <c:v>46143</c:v>
                </c:pt>
                <c:pt idx="137">
                  <c:v>46174</c:v>
                </c:pt>
                <c:pt idx="138">
                  <c:v>46204</c:v>
                </c:pt>
                <c:pt idx="139">
                  <c:v>46235</c:v>
                </c:pt>
                <c:pt idx="140">
                  <c:v>46266</c:v>
                </c:pt>
              </c:numCache>
            </c:numRef>
          </c:cat>
          <c:val>
            <c:numRef>
              <c:f>'Wage Index Chart'!$B$2:$B$142</c:f>
              <c:numCache>
                <c:formatCode>0.00</c:formatCode>
                <c:ptCount val="141"/>
                <c:pt idx="0">
                  <c:v>100</c:v>
                </c:pt>
                <c:pt idx="1">
                  <c:v>100.20210185933711</c:v>
                </c:pt>
                <c:pt idx="2">
                  <c:v>100.44462409054165</c:v>
                </c:pt>
                <c:pt idx="3">
                  <c:v>100.60630557801133</c:v>
                </c:pt>
                <c:pt idx="4">
                  <c:v>100.92966855295069</c:v>
                </c:pt>
                <c:pt idx="5">
                  <c:v>100.92966855295069</c:v>
                </c:pt>
                <c:pt idx="6">
                  <c:v>101.09135004042038</c:v>
                </c:pt>
                <c:pt idx="7">
                  <c:v>101.45513338722718</c:v>
                </c:pt>
                <c:pt idx="8">
                  <c:v>101.49555375909458</c:v>
                </c:pt>
                <c:pt idx="9">
                  <c:v>101.85933710590137</c:v>
                </c:pt>
                <c:pt idx="10">
                  <c:v>102.06143896523849</c:v>
                </c:pt>
                <c:pt idx="11">
                  <c:v>102.06143896523849</c:v>
                </c:pt>
                <c:pt idx="12">
                  <c:v>102.54648342764754</c:v>
                </c:pt>
                <c:pt idx="13">
                  <c:v>102.58690379951496</c:v>
                </c:pt>
                <c:pt idx="14">
                  <c:v>102.86984640258692</c:v>
                </c:pt>
                <c:pt idx="15">
                  <c:v>103.19320937752627</c:v>
                </c:pt>
                <c:pt idx="16">
                  <c:v>103.39531123686339</c:v>
                </c:pt>
                <c:pt idx="17">
                  <c:v>103.55699272433307</c:v>
                </c:pt>
                <c:pt idx="18">
                  <c:v>103.83993532740503</c:v>
                </c:pt>
                <c:pt idx="19">
                  <c:v>103.92077607113987</c:v>
                </c:pt>
                <c:pt idx="20">
                  <c:v>104.16329830234439</c:v>
                </c:pt>
                <c:pt idx="21">
                  <c:v>104.68876313662085</c:v>
                </c:pt>
                <c:pt idx="22">
                  <c:v>104.68876313662085</c:v>
                </c:pt>
                <c:pt idx="23">
                  <c:v>104.81002425222312</c:v>
                </c:pt>
                <c:pt idx="24">
                  <c:v>105.09296685529507</c:v>
                </c:pt>
                <c:pt idx="25">
                  <c:v>105.37590945836703</c:v>
                </c:pt>
                <c:pt idx="26">
                  <c:v>105.5375909458367</c:v>
                </c:pt>
                <c:pt idx="27">
                  <c:v>105.82053354890866</c:v>
                </c:pt>
                <c:pt idx="28">
                  <c:v>105.94179466451092</c:v>
                </c:pt>
                <c:pt idx="29">
                  <c:v>106.14389652384804</c:v>
                </c:pt>
                <c:pt idx="30">
                  <c:v>106.50767987065481</c:v>
                </c:pt>
                <c:pt idx="31">
                  <c:v>106.58852061438967</c:v>
                </c:pt>
                <c:pt idx="32">
                  <c:v>107.0735650767987</c:v>
                </c:pt>
                <c:pt idx="33">
                  <c:v>107.11398544866613</c:v>
                </c:pt>
                <c:pt idx="34">
                  <c:v>107.27566693613582</c:v>
                </c:pt>
                <c:pt idx="35">
                  <c:v>107.63945028294259</c:v>
                </c:pt>
                <c:pt idx="36">
                  <c:v>108.00323362974939</c:v>
                </c:pt>
                <c:pt idx="37">
                  <c:v>108.08407437348424</c:v>
                </c:pt>
                <c:pt idx="38">
                  <c:v>108.52869846402588</c:v>
                </c:pt>
                <c:pt idx="39">
                  <c:v>108.7712206952304</c:v>
                </c:pt>
                <c:pt idx="40">
                  <c:v>109.05416329830236</c:v>
                </c:pt>
                <c:pt idx="41">
                  <c:v>109.25626515763946</c:v>
                </c:pt>
                <c:pt idx="42">
                  <c:v>109.53920776071142</c:v>
                </c:pt>
                <c:pt idx="43">
                  <c:v>109.98383185125304</c:v>
                </c:pt>
                <c:pt idx="44">
                  <c:v>110.42845594179467</c:v>
                </c:pt>
                <c:pt idx="45">
                  <c:v>110.63055780113177</c:v>
                </c:pt>
                <c:pt idx="46">
                  <c:v>110.91350040420373</c:v>
                </c:pt>
                <c:pt idx="47">
                  <c:v>111.39854486661278</c:v>
                </c:pt>
                <c:pt idx="48">
                  <c:v>111.51980598221505</c:v>
                </c:pt>
                <c:pt idx="49">
                  <c:v>111.92400970088927</c:v>
                </c:pt>
                <c:pt idx="50">
                  <c:v>112.24737267582863</c:v>
                </c:pt>
                <c:pt idx="51">
                  <c:v>112.32821341956347</c:v>
                </c:pt>
                <c:pt idx="52">
                  <c:v>112.69199676637025</c:v>
                </c:pt>
                <c:pt idx="53">
                  <c:v>113.05578011317705</c:v>
                </c:pt>
                <c:pt idx="54">
                  <c:v>113.29830234438158</c:v>
                </c:pt>
                <c:pt idx="55">
                  <c:v>113.74292643492321</c:v>
                </c:pt>
                <c:pt idx="56">
                  <c:v>113.82376717865806</c:v>
                </c:pt>
                <c:pt idx="57">
                  <c:v>114.1471301535974</c:v>
                </c:pt>
                <c:pt idx="58">
                  <c:v>114.55133387227163</c:v>
                </c:pt>
                <c:pt idx="59">
                  <c:v>114.71301535974132</c:v>
                </c:pt>
                <c:pt idx="60">
                  <c:v>114.91511721907841</c:v>
                </c:pt>
                <c:pt idx="61">
                  <c:v>115.35974130962006</c:v>
                </c:pt>
                <c:pt idx="62">
                  <c:v>116.12772837510106</c:v>
                </c:pt>
                <c:pt idx="63">
                  <c:v>121.42279708973322</c:v>
                </c:pt>
                <c:pt idx="64">
                  <c:v>120.12934518997575</c:v>
                </c:pt>
                <c:pt idx="65">
                  <c:v>118.75505254648344</c:v>
                </c:pt>
                <c:pt idx="66">
                  <c:v>118.79547291835087</c:v>
                </c:pt>
                <c:pt idx="67">
                  <c:v>119.19967663702506</c:v>
                </c:pt>
                <c:pt idx="68">
                  <c:v>119.2805173807599</c:v>
                </c:pt>
                <c:pt idx="69">
                  <c:v>119.40177849636217</c:v>
                </c:pt>
                <c:pt idx="70">
                  <c:v>119.80598221503638</c:v>
                </c:pt>
                <c:pt idx="71">
                  <c:v>120.89733225545676</c:v>
                </c:pt>
                <c:pt idx="72">
                  <c:v>120.9781729991916</c:v>
                </c:pt>
                <c:pt idx="73">
                  <c:v>121.46321746160065</c:v>
                </c:pt>
                <c:pt idx="74">
                  <c:v>121.38237671786582</c:v>
                </c:pt>
                <c:pt idx="75">
                  <c:v>122.1503637833468</c:v>
                </c:pt>
                <c:pt idx="76">
                  <c:v>122.9183508488278</c:v>
                </c:pt>
                <c:pt idx="77">
                  <c:v>123.44381568310429</c:v>
                </c:pt>
                <c:pt idx="78">
                  <c:v>123.92886014551334</c:v>
                </c:pt>
                <c:pt idx="79">
                  <c:v>124.4139046079224</c:v>
                </c:pt>
                <c:pt idx="80">
                  <c:v>125.22231204527084</c:v>
                </c:pt>
                <c:pt idx="81">
                  <c:v>125.86903799514957</c:v>
                </c:pt>
                <c:pt idx="82">
                  <c:v>126.23282134195635</c:v>
                </c:pt>
                <c:pt idx="83">
                  <c:v>126.87954729183511</c:v>
                </c:pt>
                <c:pt idx="84">
                  <c:v>127.72837510105094</c:v>
                </c:pt>
                <c:pt idx="85">
                  <c:v>127.89005658852062</c:v>
                </c:pt>
                <c:pt idx="86">
                  <c:v>128.53678253839936</c:v>
                </c:pt>
                <c:pt idx="87">
                  <c:v>129.18350848827811</c:v>
                </c:pt>
                <c:pt idx="88">
                  <c:v>129.749393694422</c:v>
                </c:pt>
                <c:pt idx="89">
                  <c:v>130.11317704122877</c:v>
                </c:pt>
                <c:pt idx="90">
                  <c:v>130.71948261924013</c:v>
                </c:pt>
                <c:pt idx="91">
                  <c:v>131.12368633791431</c:v>
                </c:pt>
                <c:pt idx="92">
                  <c:v>131.64915117219081</c:v>
                </c:pt>
                <c:pt idx="93">
                  <c:v>132.17461600646726</c:v>
                </c:pt>
                <c:pt idx="94">
                  <c:v>132.65966046887633</c:v>
                </c:pt>
                <c:pt idx="95">
                  <c:v>133.14470493128536</c:v>
                </c:pt>
                <c:pt idx="96">
                  <c:v>133.46806790622477</c:v>
                </c:pt>
                <c:pt idx="97">
                  <c:v>133.99353274050122</c:v>
                </c:pt>
                <c:pt idx="98">
                  <c:v>134.47857720291029</c:v>
                </c:pt>
                <c:pt idx="99">
                  <c:v>135.125303152789</c:v>
                </c:pt>
                <c:pt idx="100">
                  <c:v>135.40824575586097</c:v>
                </c:pt>
                <c:pt idx="101">
                  <c:v>136.17623282134196</c:v>
                </c:pt>
                <c:pt idx="102">
                  <c:v>136.8229587712207</c:v>
                </c:pt>
                <c:pt idx="103">
                  <c:v>136.9846402586904</c:v>
                </c:pt>
                <c:pt idx="104">
                  <c:v>137.46968472109944</c:v>
                </c:pt>
                <c:pt idx="105">
                  <c:v>137.75262732417139</c:v>
                </c:pt>
                <c:pt idx="106">
                  <c:v>138.11641067097818</c:v>
                </c:pt>
                <c:pt idx="107">
                  <c:v>138.60145513338725</c:v>
                </c:pt>
                <c:pt idx="108">
                  <c:v>139.32902182700082</c:v>
                </c:pt>
                <c:pt idx="109">
                  <c:v>139.53112368633793</c:v>
                </c:pt>
                <c:pt idx="110">
                  <c:v>140.05658852061441</c:v>
                </c:pt>
                <c:pt idx="111">
                  <c:v>140.50121261115603</c:v>
                </c:pt>
                <c:pt idx="112">
                  <c:v>141.02667744543251</c:v>
                </c:pt>
                <c:pt idx="113">
                  <c:v>141.51172190784155</c:v>
                </c:pt>
                <c:pt idx="114">
                  <c:v>141.79466451091349</c:v>
                </c:pt>
                <c:pt idx="115">
                  <c:v>142.36054971705741</c:v>
                </c:pt>
                <c:pt idx="116">
                  <c:v>142.84559417946647</c:v>
                </c:pt>
                <c:pt idx="117">
                  <c:v>143.33063864187551</c:v>
                </c:pt>
                <c:pt idx="118">
                  <c:v>143.8965238480194</c:v>
                </c:pt>
                <c:pt idx="119">
                  <c:v>144.2603071948262</c:v>
                </c:pt>
                <c:pt idx="120">
                  <c:v>144.86661277283756</c:v>
                </c:pt>
                <c:pt idx="121">
                  <c:v>145.27081649151171</c:v>
                </c:pt>
                <c:pt idx="122">
                  <c:v>145.95796281325789</c:v>
                </c:pt>
                <c:pt idx="123">
                  <c:v>145.99838318512531</c:v>
                </c:pt>
                <c:pt idx="124">
                  <c:v>146.64510913500405</c:v>
                </c:pt>
                <c:pt idx="125">
                  <c:v>146.96847210994341</c:v>
                </c:pt>
                <c:pt idx="126">
                  <c:v>147.41309620048503</c:v>
                </c:pt>
                <c:pt idx="127">
                  <c:v>148.01940177849636</c:v>
                </c:pt>
                <c:pt idx="128">
                  <c:v>148.34276475343574</c:v>
                </c:pt>
                <c:pt idx="129">
                  <c:v>148.94907033144707</c:v>
                </c:pt>
                <c:pt idx="130">
                  <c:v>149.55537590945838</c:v>
                </c:pt>
                <c:pt idx="131">
                  <c:v>149.63621665319323</c:v>
                </c:pt>
                <c:pt idx="132">
                  <c:v>150.16168148746968</c:v>
                </c:pt>
                <c:pt idx="133">
                  <c:v>150.64672594987877</c:v>
                </c:pt>
                <c:pt idx="134">
                  <c:v>150.9700889248181</c:v>
                </c:pt>
                <c:pt idx="135">
                  <c:v>151.21261115602263</c:v>
                </c:pt>
                <c:pt idx="136">
                  <c:v>151.53597413096202</c:v>
                </c:pt>
                <c:pt idx="137">
                  <c:v>151.94017784963626</c:v>
                </c:pt>
                <c:pt idx="138">
                  <c:v>152.14227970897335</c:v>
                </c:pt>
                <c:pt idx="139">
                  <c:v>152.62732417138238</c:v>
                </c:pt>
                <c:pt idx="140">
                  <c:v>152.8294260307195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B72-7041-8C0F-FD489AD9D7A2}"/>
            </c:ext>
          </c:extLst>
        </c:ser>
        <c:ser>
          <c:idx val="1"/>
          <c:order val="1"/>
          <c:tx>
            <c:strRef>
              <c:f>'Wage Index Chart'!$C$1</c:f>
              <c:strCache>
                <c:ptCount val="1"/>
                <c:pt idx="0">
                  <c:v>REAL WAGE INDEX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'Wage Index Chart'!$A$2:$A$142</c:f>
              <c:numCache>
                <c:formatCode>m/d/yy</c:formatCode>
                <c:ptCount val="141"/>
                <c:pt idx="0">
                  <c:v>42005</c:v>
                </c:pt>
                <c:pt idx="1">
                  <c:v>42036</c:v>
                </c:pt>
                <c:pt idx="2">
                  <c:v>42064</c:v>
                </c:pt>
                <c:pt idx="3">
                  <c:v>42095</c:v>
                </c:pt>
                <c:pt idx="4">
                  <c:v>42125</c:v>
                </c:pt>
                <c:pt idx="5">
                  <c:v>42156</c:v>
                </c:pt>
                <c:pt idx="6">
                  <c:v>42186</c:v>
                </c:pt>
                <c:pt idx="7">
                  <c:v>42217</c:v>
                </c:pt>
                <c:pt idx="8">
                  <c:v>42248</c:v>
                </c:pt>
                <c:pt idx="9">
                  <c:v>42278</c:v>
                </c:pt>
                <c:pt idx="10">
                  <c:v>42309</c:v>
                </c:pt>
                <c:pt idx="11">
                  <c:v>42339</c:v>
                </c:pt>
                <c:pt idx="12">
                  <c:v>42370</c:v>
                </c:pt>
                <c:pt idx="13">
                  <c:v>42401</c:v>
                </c:pt>
                <c:pt idx="14">
                  <c:v>42430</c:v>
                </c:pt>
                <c:pt idx="15">
                  <c:v>42461</c:v>
                </c:pt>
                <c:pt idx="16">
                  <c:v>42491</c:v>
                </c:pt>
                <c:pt idx="17">
                  <c:v>42522</c:v>
                </c:pt>
                <c:pt idx="18">
                  <c:v>42552</c:v>
                </c:pt>
                <c:pt idx="19">
                  <c:v>42583</c:v>
                </c:pt>
                <c:pt idx="20">
                  <c:v>42614</c:v>
                </c:pt>
                <c:pt idx="21">
                  <c:v>42644</c:v>
                </c:pt>
                <c:pt idx="22">
                  <c:v>42675</c:v>
                </c:pt>
                <c:pt idx="23">
                  <c:v>42705</c:v>
                </c:pt>
                <c:pt idx="24">
                  <c:v>42736</c:v>
                </c:pt>
                <c:pt idx="25">
                  <c:v>42767</c:v>
                </c:pt>
                <c:pt idx="26">
                  <c:v>42795</c:v>
                </c:pt>
                <c:pt idx="27">
                  <c:v>42826</c:v>
                </c:pt>
                <c:pt idx="28">
                  <c:v>42856</c:v>
                </c:pt>
                <c:pt idx="29">
                  <c:v>42887</c:v>
                </c:pt>
                <c:pt idx="30">
                  <c:v>42917</c:v>
                </c:pt>
                <c:pt idx="31">
                  <c:v>42948</c:v>
                </c:pt>
                <c:pt idx="32">
                  <c:v>42979</c:v>
                </c:pt>
                <c:pt idx="33">
                  <c:v>43009</c:v>
                </c:pt>
                <c:pt idx="34">
                  <c:v>43040</c:v>
                </c:pt>
                <c:pt idx="35">
                  <c:v>43070</c:v>
                </c:pt>
                <c:pt idx="36">
                  <c:v>43101</c:v>
                </c:pt>
                <c:pt idx="37">
                  <c:v>43132</c:v>
                </c:pt>
                <c:pt idx="38">
                  <c:v>43160</c:v>
                </c:pt>
                <c:pt idx="39">
                  <c:v>43191</c:v>
                </c:pt>
                <c:pt idx="40">
                  <c:v>43221</c:v>
                </c:pt>
                <c:pt idx="41">
                  <c:v>43252</c:v>
                </c:pt>
                <c:pt idx="42">
                  <c:v>43282</c:v>
                </c:pt>
                <c:pt idx="43">
                  <c:v>43313</c:v>
                </c:pt>
                <c:pt idx="44">
                  <c:v>43344</c:v>
                </c:pt>
                <c:pt idx="45">
                  <c:v>43374</c:v>
                </c:pt>
                <c:pt idx="46">
                  <c:v>43405</c:v>
                </c:pt>
                <c:pt idx="47">
                  <c:v>43435</c:v>
                </c:pt>
                <c:pt idx="48">
                  <c:v>43466</c:v>
                </c:pt>
                <c:pt idx="49">
                  <c:v>43497</c:v>
                </c:pt>
                <c:pt idx="50">
                  <c:v>43525</c:v>
                </c:pt>
                <c:pt idx="51">
                  <c:v>43556</c:v>
                </c:pt>
                <c:pt idx="52">
                  <c:v>43586</c:v>
                </c:pt>
                <c:pt idx="53">
                  <c:v>43617</c:v>
                </c:pt>
                <c:pt idx="54">
                  <c:v>43647</c:v>
                </c:pt>
                <c:pt idx="55">
                  <c:v>43678</c:v>
                </c:pt>
                <c:pt idx="56">
                  <c:v>43709</c:v>
                </c:pt>
                <c:pt idx="57">
                  <c:v>43739</c:v>
                </c:pt>
                <c:pt idx="58">
                  <c:v>43770</c:v>
                </c:pt>
                <c:pt idx="59">
                  <c:v>43800</c:v>
                </c:pt>
                <c:pt idx="60">
                  <c:v>43831</c:v>
                </c:pt>
                <c:pt idx="61">
                  <c:v>43862</c:v>
                </c:pt>
                <c:pt idx="62">
                  <c:v>43891</c:v>
                </c:pt>
                <c:pt idx="63">
                  <c:v>43922</c:v>
                </c:pt>
                <c:pt idx="64">
                  <c:v>43952</c:v>
                </c:pt>
                <c:pt idx="65">
                  <c:v>43983</c:v>
                </c:pt>
                <c:pt idx="66">
                  <c:v>44013</c:v>
                </c:pt>
                <c:pt idx="67">
                  <c:v>44044</c:v>
                </c:pt>
                <c:pt idx="68">
                  <c:v>44075</c:v>
                </c:pt>
                <c:pt idx="69">
                  <c:v>44105</c:v>
                </c:pt>
                <c:pt idx="70">
                  <c:v>44136</c:v>
                </c:pt>
                <c:pt idx="71">
                  <c:v>44166</c:v>
                </c:pt>
                <c:pt idx="72">
                  <c:v>44197</c:v>
                </c:pt>
                <c:pt idx="73">
                  <c:v>44228</c:v>
                </c:pt>
                <c:pt idx="74">
                  <c:v>44256</c:v>
                </c:pt>
                <c:pt idx="75">
                  <c:v>44287</c:v>
                </c:pt>
                <c:pt idx="76">
                  <c:v>44317</c:v>
                </c:pt>
                <c:pt idx="77">
                  <c:v>44348</c:v>
                </c:pt>
                <c:pt idx="78">
                  <c:v>44378</c:v>
                </c:pt>
                <c:pt idx="79">
                  <c:v>44409</c:v>
                </c:pt>
                <c:pt idx="80">
                  <c:v>44440</c:v>
                </c:pt>
                <c:pt idx="81">
                  <c:v>44470</c:v>
                </c:pt>
                <c:pt idx="82">
                  <c:v>44501</c:v>
                </c:pt>
                <c:pt idx="83">
                  <c:v>44531</c:v>
                </c:pt>
                <c:pt idx="84">
                  <c:v>44562</c:v>
                </c:pt>
                <c:pt idx="85">
                  <c:v>44593</c:v>
                </c:pt>
                <c:pt idx="86">
                  <c:v>44621</c:v>
                </c:pt>
                <c:pt idx="87">
                  <c:v>44652</c:v>
                </c:pt>
                <c:pt idx="88">
                  <c:v>44682</c:v>
                </c:pt>
                <c:pt idx="89">
                  <c:v>44713</c:v>
                </c:pt>
                <c:pt idx="90">
                  <c:v>44743</c:v>
                </c:pt>
                <c:pt idx="91">
                  <c:v>44774</c:v>
                </c:pt>
                <c:pt idx="92">
                  <c:v>44805</c:v>
                </c:pt>
                <c:pt idx="93">
                  <c:v>44835</c:v>
                </c:pt>
                <c:pt idx="94">
                  <c:v>44866</c:v>
                </c:pt>
                <c:pt idx="95">
                  <c:v>44896</c:v>
                </c:pt>
                <c:pt idx="96">
                  <c:v>44927</c:v>
                </c:pt>
                <c:pt idx="97">
                  <c:v>44958</c:v>
                </c:pt>
                <c:pt idx="98">
                  <c:v>44986</c:v>
                </c:pt>
                <c:pt idx="99">
                  <c:v>45017</c:v>
                </c:pt>
                <c:pt idx="100">
                  <c:v>45047</c:v>
                </c:pt>
                <c:pt idx="101">
                  <c:v>45078</c:v>
                </c:pt>
                <c:pt idx="102">
                  <c:v>45108</c:v>
                </c:pt>
                <c:pt idx="103">
                  <c:v>45139</c:v>
                </c:pt>
                <c:pt idx="104">
                  <c:v>45170</c:v>
                </c:pt>
                <c:pt idx="105">
                  <c:v>45200</c:v>
                </c:pt>
                <c:pt idx="106">
                  <c:v>45231</c:v>
                </c:pt>
                <c:pt idx="107">
                  <c:v>45261</c:v>
                </c:pt>
                <c:pt idx="108">
                  <c:v>45292</c:v>
                </c:pt>
                <c:pt idx="109">
                  <c:v>45323</c:v>
                </c:pt>
                <c:pt idx="110">
                  <c:v>45352</c:v>
                </c:pt>
                <c:pt idx="111">
                  <c:v>45383</c:v>
                </c:pt>
                <c:pt idx="112">
                  <c:v>45413</c:v>
                </c:pt>
                <c:pt idx="113">
                  <c:v>45444</c:v>
                </c:pt>
                <c:pt idx="114">
                  <c:v>45474</c:v>
                </c:pt>
                <c:pt idx="115">
                  <c:v>45505</c:v>
                </c:pt>
                <c:pt idx="116">
                  <c:v>45536</c:v>
                </c:pt>
                <c:pt idx="117">
                  <c:v>45566</c:v>
                </c:pt>
                <c:pt idx="118">
                  <c:v>45597</c:v>
                </c:pt>
                <c:pt idx="119">
                  <c:v>45627</c:v>
                </c:pt>
                <c:pt idx="120">
                  <c:v>45658</c:v>
                </c:pt>
                <c:pt idx="121">
                  <c:v>45689</c:v>
                </c:pt>
                <c:pt idx="122">
                  <c:v>45717</c:v>
                </c:pt>
                <c:pt idx="123">
                  <c:v>45748</c:v>
                </c:pt>
                <c:pt idx="124">
                  <c:v>45778</c:v>
                </c:pt>
                <c:pt idx="125">
                  <c:v>45809</c:v>
                </c:pt>
                <c:pt idx="126">
                  <c:v>45839</c:v>
                </c:pt>
                <c:pt idx="127">
                  <c:v>45870</c:v>
                </c:pt>
                <c:pt idx="128">
                  <c:v>45901</c:v>
                </c:pt>
                <c:pt idx="129">
                  <c:v>45931</c:v>
                </c:pt>
                <c:pt idx="130">
                  <c:v>45962</c:v>
                </c:pt>
                <c:pt idx="131">
                  <c:v>45992</c:v>
                </c:pt>
                <c:pt idx="132">
                  <c:v>46023</c:v>
                </c:pt>
                <c:pt idx="133">
                  <c:v>46054</c:v>
                </c:pt>
                <c:pt idx="134">
                  <c:v>46082</c:v>
                </c:pt>
                <c:pt idx="135">
                  <c:v>46113</c:v>
                </c:pt>
                <c:pt idx="136">
                  <c:v>46143</c:v>
                </c:pt>
                <c:pt idx="137">
                  <c:v>46174</c:v>
                </c:pt>
                <c:pt idx="138">
                  <c:v>46204</c:v>
                </c:pt>
                <c:pt idx="139">
                  <c:v>46235</c:v>
                </c:pt>
                <c:pt idx="140">
                  <c:v>46266</c:v>
                </c:pt>
              </c:numCache>
            </c:numRef>
          </c:cat>
          <c:val>
            <c:numRef>
              <c:f>'Wage Index Chart'!$C$2:$C$142</c:f>
              <c:numCache>
                <c:formatCode>0.00</c:formatCode>
                <c:ptCount val="141"/>
                <c:pt idx="0">
                  <c:v>100</c:v>
                </c:pt>
                <c:pt idx="1">
                  <c:v>99.948767347833396</c:v>
                </c:pt>
                <c:pt idx="2">
                  <c:v>99.921492742407622</c:v>
                </c:pt>
                <c:pt idx="3">
                  <c:v>99.978107100614778</c:v>
                </c:pt>
                <c:pt idx="4">
                  <c:v>99.969776092925827</c:v>
                </c:pt>
                <c:pt idx="5">
                  <c:v>99.693831462147202</c:v>
                </c:pt>
                <c:pt idx="6">
                  <c:v>99.69538447422876</c:v>
                </c:pt>
                <c:pt idx="7">
                  <c:v>100.05456469166636</c:v>
                </c:pt>
                <c:pt idx="8">
                  <c:v>100.31990483408779</c:v>
                </c:pt>
                <c:pt idx="9">
                  <c:v>100.57995233139292</c:v>
                </c:pt>
                <c:pt idx="10">
                  <c:v>100.65926640858778</c:v>
                </c:pt>
                <c:pt idx="11">
                  <c:v>100.76764739706195</c:v>
                </c:pt>
                <c:pt idx="12">
                  <c:v>101.29298026185339</c:v>
                </c:pt>
                <c:pt idx="13">
                  <c:v>101.46782580908391</c:v>
                </c:pt>
                <c:pt idx="14">
                  <c:v>101.42972040267166</c:v>
                </c:pt>
                <c:pt idx="15">
                  <c:v>101.36028118826641</c:v>
                </c:pt>
                <c:pt idx="16">
                  <c:v>101.3192648385143</c:v>
                </c:pt>
                <c:pt idx="17">
                  <c:v>101.19678202270823</c:v>
                </c:pt>
                <c:pt idx="18">
                  <c:v>101.52441388541634</c:v>
                </c:pt>
                <c:pt idx="19">
                  <c:v>101.41591145262581</c:v>
                </c:pt>
                <c:pt idx="20">
                  <c:v>101.38662962558647</c:v>
                </c:pt>
                <c:pt idx="21">
                  <c:v>101.65992975966979</c:v>
                </c:pt>
                <c:pt idx="22">
                  <c:v>101.54021915014229</c:v>
                </c:pt>
                <c:pt idx="23">
                  <c:v>101.40184210626006</c:v>
                </c:pt>
                <c:pt idx="24">
                  <c:v>101.26615722311141</c:v>
                </c:pt>
                <c:pt idx="25">
                  <c:v>101.37733751474671</c:v>
                </c:pt>
                <c:pt idx="26">
                  <c:v>101.58034237187907</c:v>
                </c:pt>
                <c:pt idx="27">
                  <c:v>101.72712890625719</c:v>
                </c:pt>
                <c:pt idx="28">
                  <c:v>101.9225851711855</c:v>
                </c:pt>
                <c:pt idx="29">
                  <c:v>102.05052066563631</c:v>
                </c:pt>
                <c:pt idx="30">
                  <c:v>102.36673446770885</c:v>
                </c:pt>
                <c:pt idx="31">
                  <c:v>102.0516734384771</c:v>
                </c:pt>
                <c:pt idx="32">
                  <c:v>101.9952449168473</c:v>
                </c:pt>
                <c:pt idx="33">
                  <c:v>101.95472797725313</c:v>
                </c:pt>
                <c:pt idx="34">
                  <c:v>101.83692024658721</c:v>
                </c:pt>
                <c:pt idx="35">
                  <c:v>101.96742614382248</c:v>
                </c:pt>
                <c:pt idx="36">
                  <c:v>101.87871479385025</c:v>
                </c:pt>
                <c:pt idx="37">
                  <c:v>101.68121623920388</c:v>
                </c:pt>
                <c:pt idx="38">
                  <c:v>102.07986464431693</c:v>
                </c:pt>
                <c:pt idx="39">
                  <c:v>102.04221664545894</c:v>
                </c:pt>
                <c:pt idx="40">
                  <c:v>102.07717021191498</c:v>
                </c:pt>
                <c:pt idx="41">
                  <c:v>102.17426828737537</c:v>
                </c:pt>
                <c:pt idx="42">
                  <c:v>102.35894657226001</c:v>
                </c:pt>
                <c:pt idx="43">
                  <c:v>102.59106255423364</c:v>
                </c:pt>
                <c:pt idx="44">
                  <c:v>102.7938106088796</c:v>
                </c:pt>
                <c:pt idx="45">
                  <c:v>102.74156770584671</c:v>
                </c:pt>
                <c:pt idx="46">
                  <c:v>103.07691979772132</c:v>
                </c:pt>
                <c:pt idx="47">
                  <c:v>103.45683657994418</c:v>
                </c:pt>
                <c:pt idx="48">
                  <c:v>103.65392873368033</c:v>
                </c:pt>
                <c:pt idx="49">
                  <c:v>103.71833737404084</c:v>
                </c:pt>
                <c:pt idx="50">
                  <c:v>103.62610064430815</c:v>
                </c:pt>
                <c:pt idx="51">
                  <c:v>103.31231116510115</c:v>
                </c:pt>
                <c:pt idx="52">
                  <c:v>103.62131864547474</c:v>
                </c:pt>
                <c:pt idx="53">
                  <c:v>103.98962911069567</c:v>
                </c:pt>
                <c:pt idx="54">
                  <c:v>103.97274681369395</c:v>
                </c:pt>
                <c:pt idx="55">
                  <c:v>104.28537686817056</c:v>
                </c:pt>
                <c:pt idx="56">
                  <c:v>104.19914937366315</c:v>
                </c:pt>
                <c:pt idx="57">
                  <c:v>104.20056527062098</c:v>
                </c:pt>
                <c:pt idx="58">
                  <c:v>104.27596652893081</c:v>
                </c:pt>
                <c:pt idx="59">
                  <c:v>104.11992505375709</c:v>
                </c:pt>
                <c:pt idx="60">
                  <c:v>104.1033123596808</c:v>
                </c:pt>
                <c:pt idx="61">
                  <c:v>104.45652147814613</c:v>
                </c:pt>
                <c:pt idx="62">
                  <c:v>105.63026338315011</c:v>
                </c:pt>
                <c:pt idx="63">
                  <c:v>111.32841734011221</c:v>
                </c:pt>
                <c:pt idx="64">
                  <c:v>110.24152819489777</c:v>
                </c:pt>
                <c:pt idx="65">
                  <c:v>108.45461955684033</c:v>
                </c:pt>
                <c:pt idx="66">
                  <c:v>107.9414166763335</c:v>
                </c:pt>
                <c:pt idx="67">
                  <c:v>107.90605474213595</c:v>
                </c:pt>
                <c:pt idx="68">
                  <c:v>107.69641039543242</c:v>
                </c:pt>
                <c:pt idx="69">
                  <c:v>107.67254521062823</c:v>
                </c:pt>
                <c:pt idx="70">
                  <c:v>107.7919095286636</c:v>
                </c:pt>
                <c:pt idx="71">
                  <c:v>108.30310082226985</c:v>
                </c:pt>
                <c:pt idx="72">
                  <c:v>108.11065327572827</c:v>
                </c:pt>
                <c:pt idx="73">
                  <c:v>108.17677398221545</c:v>
                </c:pt>
                <c:pt idx="74">
                  <c:v>107.54091654012798</c:v>
                </c:pt>
                <c:pt idx="75">
                  <c:v>107.55035912236161</c:v>
                </c:pt>
                <c:pt idx="76">
                  <c:v>107.51319609181576</c:v>
                </c:pt>
                <c:pt idx="77">
                  <c:v>107.0668284974975</c:v>
                </c:pt>
                <c:pt idx="78">
                  <c:v>106.99377400241563</c:v>
                </c:pt>
                <c:pt idx="79">
                  <c:v>107.10803614911457</c:v>
                </c:pt>
                <c:pt idx="80">
                  <c:v>107.31832384977251</c:v>
                </c:pt>
                <c:pt idx="81">
                  <c:v>106.84280984359927</c:v>
                </c:pt>
                <c:pt idx="82">
                  <c:v>106.24151137627852</c:v>
                </c:pt>
                <c:pt idx="83">
                  <c:v>106.05349245354702</c:v>
                </c:pt>
                <c:pt idx="84">
                  <c:v>106.12137929393546</c:v>
                </c:pt>
                <c:pt idx="85">
                  <c:v>105.52480532156574</c:v>
                </c:pt>
                <c:pt idx="86">
                  <c:v>104.88825577056544</c:v>
                </c:pt>
                <c:pt idx="87">
                  <c:v>105.09195999146741</c:v>
                </c:pt>
                <c:pt idx="88">
                  <c:v>104.56055627427749</c:v>
                </c:pt>
                <c:pt idx="89">
                  <c:v>103.552985590772</c:v>
                </c:pt>
                <c:pt idx="90">
                  <c:v>104.05104687287017</c:v>
                </c:pt>
                <c:pt idx="91">
                  <c:v>104.30770897964526</c:v>
                </c:pt>
                <c:pt idx="92">
                  <c:v>104.28327171752991</c:v>
                </c:pt>
                <c:pt idx="93">
                  <c:v>104.11699921032115</c:v>
                </c:pt>
                <c:pt idx="94">
                  <c:v>104.22662814217306</c:v>
                </c:pt>
                <c:pt idx="95">
                  <c:v>104.5916101639197</c:v>
                </c:pt>
                <c:pt idx="96">
                  <c:v>104.29142046728761</c:v>
                </c:pt>
                <c:pt idx="97">
                  <c:v>104.34426880157386</c:v>
                </c:pt>
                <c:pt idx="98">
                  <c:v>104.59326078255515</c:v>
                </c:pt>
                <c:pt idx="99">
                  <c:v>104.74090554312522</c:v>
                </c:pt>
                <c:pt idx="100">
                  <c:v>104.79102067836476</c:v>
                </c:pt>
                <c:pt idx="101">
                  <c:v>105.14963826044708</c:v>
                </c:pt>
                <c:pt idx="102">
                  <c:v>105.4426464834189</c:v>
                </c:pt>
                <c:pt idx="103">
                  <c:v>105.05921075661684</c:v>
                </c:pt>
                <c:pt idx="104">
                  <c:v>105.0215313894477</c:v>
                </c:pt>
                <c:pt idx="105">
                  <c:v>105.0940408925279</c:v>
                </c:pt>
                <c:pt idx="106">
                  <c:v>105.21701603054414</c:v>
                </c:pt>
                <c:pt idx="107">
                  <c:v>105.38372224031551</c:v>
                </c:pt>
                <c:pt idx="108">
                  <c:v>105.60956120744392</c:v>
                </c:pt>
                <c:pt idx="109">
                  <c:v>105.33115311913089</c:v>
                </c:pt>
                <c:pt idx="110">
                  <c:v>105.26137439513572</c:v>
                </c:pt>
                <c:pt idx="111">
                  <c:v>105.3668201915867</c:v>
                </c:pt>
                <c:pt idx="112">
                  <c:v>105.70955360511836</c:v>
                </c:pt>
                <c:pt idx="113">
                  <c:v>106.1175176099848</c:v>
                </c:pt>
                <c:pt idx="114">
                  <c:v>106.15166712890436</c:v>
                </c:pt>
                <c:pt idx="115">
                  <c:v>106.40800849650729</c:v>
                </c:pt>
                <c:pt idx="116">
                  <c:v>106.54326441813105</c:v>
                </c:pt>
                <c:pt idx="117">
                  <c:v>106.60054756745807</c:v>
                </c:pt>
                <c:pt idx="118">
                  <c:v>106.71813325756652</c:v>
                </c:pt>
                <c:pt idx="119">
                  <c:v>106.62546546348241</c:v>
                </c:pt>
                <c:pt idx="120">
                  <c:v>106.61805909996924</c:v>
                </c:pt>
                <c:pt idx="121">
                  <c:v>106.67540989221347</c:v>
                </c:pt>
                <c:pt idx="122">
                  <c:v>107.14446861648872</c:v>
                </c:pt>
                <c:pt idx="123">
                  <c:v>107.00115034423328</c:v>
                </c:pt>
                <c:pt idx="124">
                  <c:v>107.36853419660281</c:v>
                </c:pt>
                <c:pt idx="125">
                  <c:v>107.3324557761068</c:v>
                </c:pt>
                <c:pt idx="126">
                  <c:v>107.4118928071145</c:v>
                </c:pt>
                <c:pt idx="127">
                  <c:v>107.47936227515362</c:v>
                </c:pt>
                <c:pt idx="128">
                  <c:v>107.39724281816154</c:v>
                </c:pt>
                <c:pt idx="129" formatCode="General">
                  <c:v>#N/A</c:v>
                </c:pt>
                <c:pt idx="130">
                  <c:v>108.00268202969157</c:v>
                </c:pt>
                <c:pt idx="131">
                  <c:v>107.74022393786835</c:v>
                </c:pt>
                <c:pt idx="132">
                  <c:v>107.93416856755009</c:v>
                </c:pt>
                <c:pt idx="133">
                  <c:v>107.99446337432418</c:v>
                </c:pt>
                <c:pt idx="134">
                  <c:v>107.29799137382348</c:v>
                </c:pt>
                <c:pt idx="135">
                  <c:v>106.78688123608362</c:v>
                </c:pt>
                <c:pt idx="136">
                  <c:v>106.51153311831267</c:v>
                </c:pt>
                <c:pt idx="137">
                  <c:v>107.24874590961417</c:v>
                </c:pt>
                <c:pt idx="138">
                  <c:v>107.31234577628388</c:v>
                </c:pt>
                <c:pt idx="139">
                  <c:v>107.22981844623666</c:v>
                </c:pt>
                <c:pt idx="140">
                  <c:v>106.6799364624033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B72-7041-8C0F-FD489AD9D7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63622016"/>
        <c:axId val="2063625600"/>
      </c:lineChart>
      <c:dateAx>
        <c:axId val="206362201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br>
                  <a:rPr lang="en-US"/>
                </a:br>
                <a:r>
                  <a:rPr lang="en-US"/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m/d/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3625600"/>
        <c:crosses val="autoZero"/>
        <c:auto val="1"/>
        <c:lblOffset val="100"/>
        <c:baseTimeUnit val="months"/>
      </c:dateAx>
      <c:valAx>
        <c:axId val="20636256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baseline="0"/>
                  <a:t>Wage Index (Jan 2015 = 100)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36220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32488</xdr:colOff>
      <xdr:row>1</xdr:row>
      <xdr:rowOff>111248</xdr:rowOff>
    </xdr:from>
    <xdr:to>
      <xdr:col>17</xdr:col>
      <xdr:colOff>660401</xdr:colOff>
      <xdr:row>20</xdr:row>
      <xdr:rowOff>135467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05F3832-EF77-CBD5-9762-48CEE48EE78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209550</xdr:colOff>
      <xdr:row>4</xdr:row>
      <xdr:rowOff>107950</xdr:rowOff>
    </xdr:from>
    <xdr:to>
      <xdr:col>9</xdr:col>
      <xdr:colOff>495300</xdr:colOff>
      <xdr:row>22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C016213-94FB-50EE-55C0-7BD44C29DA4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C7A459-E5C4-524B-B270-3A0A2E65F64B}">
  <dimension ref="A1:H142"/>
  <sheetViews>
    <sheetView zoomScale="75" workbookViewId="0">
      <selection activeCell="G1" sqref="G1:H1048576"/>
    </sheetView>
  </sheetViews>
  <sheetFormatPr baseColWidth="10" defaultRowHeight="16" x14ac:dyDescent="0.2"/>
  <cols>
    <col min="1" max="1" width="13" customWidth="1"/>
    <col min="2" max="2" width="15.5" customWidth="1"/>
    <col min="3" max="3" width="18.33203125" customWidth="1"/>
    <col min="4" max="4" width="20.6640625" style="2" customWidth="1"/>
    <col min="5" max="5" width="19.1640625" customWidth="1"/>
    <col min="6" max="6" width="23.5" style="2" customWidth="1"/>
    <col min="7" max="7" width="27.5" style="5" customWidth="1"/>
    <col min="8" max="8" width="20.83203125" style="5" customWidth="1"/>
  </cols>
  <sheetData>
    <row r="1" spans="1:8" x14ac:dyDescent="0.2">
      <c r="A1" s="1" t="s">
        <v>0</v>
      </c>
      <c r="B1" s="1" t="s">
        <v>1</v>
      </c>
      <c r="C1" s="1" t="s">
        <v>2</v>
      </c>
      <c r="D1" s="5" t="s">
        <v>3</v>
      </c>
      <c r="E1" s="1" t="s">
        <v>4</v>
      </c>
      <c r="F1" s="5" t="s">
        <v>5</v>
      </c>
      <c r="G1" s="6" t="s">
        <v>6</v>
      </c>
      <c r="H1" s="5" t="s">
        <v>7</v>
      </c>
    </row>
    <row r="2" spans="1:8" x14ac:dyDescent="0.2">
      <c r="A2" s="3">
        <v>42005</v>
      </c>
      <c r="B2" s="1">
        <v>24.74</v>
      </c>
      <c r="C2" s="4">
        <v>234.74700000000001</v>
      </c>
      <c r="D2" s="5">
        <f>B2/C2*100</f>
        <v>10.539005823290605</v>
      </c>
      <c r="E2" s="1"/>
      <c r="F2" s="5"/>
      <c r="G2" s="5">
        <f>B2/$B$2*100</f>
        <v>100</v>
      </c>
      <c r="H2" s="5">
        <f>IF(D2="","",D2/$D$2*100)</f>
        <v>100</v>
      </c>
    </row>
    <row r="3" spans="1:8" x14ac:dyDescent="0.2">
      <c r="A3" s="3">
        <v>42036</v>
      </c>
      <c r="B3" s="1">
        <v>24.79</v>
      </c>
      <c r="C3" s="4">
        <v>235.34200000000001</v>
      </c>
      <c r="D3" s="5">
        <f t="shared" ref="D3:D66" si="0">B3/C3*100</f>
        <v>10.53360641109534</v>
      </c>
      <c r="E3" s="1"/>
      <c r="F3" s="5"/>
      <c r="G3" s="5">
        <f t="shared" ref="G3:G66" si="1">B3/$B$2*100</f>
        <v>100.20210185933711</v>
      </c>
      <c r="H3" s="5">
        <f t="shared" ref="H3:H66" si="2">IF(D3="","",D3/$D$2*100)</f>
        <v>99.948767347833396</v>
      </c>
    </row>
    <row r="4" spans="1:8" x14ac:dyDescent="0.2">
      <c r="A4" s="3">
        <v>42064</v>
      </c>
      <c r="B4" s="1">
        <v>24.85</v>
      </c>
      <c r="C4" s="4">
        <v>235.976</v>
      </c>
      <c r="D4" s="5">
        <f t="shared" si="0"/>
        <v>10.530731938841239</v>
      </c>
      <c r="E4" s="1"/>
      <c r="F4" s="5"/>
      <c r="G4" s="5">
        <f t="shared" si="1"/>
        <v>100.44462409054165</v>
      </c>
      <c r="H4" s="5">
        <f t="shared" si="2"/>
        <v>99.921492742407622</v>
      </c>
    </row>
    <row r="5" spans="1:8" x14ac:dyDescent="0.2">
      <c r="A5" s="3">
        <v>42095</v>
      </c>
      <c r="B5" s="1">
        <v>24.89</v>
      </c>
      <c r="C5" s="4">
        <v>236.22200000000001</v>
      </c>
      <c r="D5" s="5">
        <f t="shared" si="0"/>
        <v>10.536698529349509</v>
      </c>
      <c r="E5" s="1"/>
      <c r="F5" s="5"/>
      <c r="G5" s="5">
        <f t="shared" si="1"/>
        <v>100.60630557801133</v>
      </c>
      <c r="H5" s="5">
        <f t="shared" si="2"/>
        <v>99.978107100614778</v>
      </c>
    </row>
    <row r="6" spans="1:8" x14ac:dyDescent="0.2">
      <c r="A6" s="3">
        <v>42125</v>
      </c>
      <c r="B6" s="1">
        <v>24.97</v>
      </c>
      <c r="C6" s="4">
        <v>237.001</v>
      </c>
      <c r="D6" s="5">
        <f t="shared" si="0"/>
        <v>10.535820523964032</v>
      </c>
      <c r="E6" s="1"/>
      <c r="F6" s="5"/>
      <c r="G6" s="5">
        <f t="shared" si="1"/>
        <v>100.92966855295069</v>
      </c>
      <c r="H6" s="5">
        <f t="shared" si="2"/>
        <v>99.969776092925827</v>
      </c>
    </row>
    <row r="7" spans="1:8" x14ac:dyDescent="0.2">
      <c r="A7" s="3">
        <v>42156</v>
      </c>
      <c r="B7" s="1">
        <v>24.97</v>
      </c>
      <c r="C7" s="4">
        <v>237.65700000000001</v>
      </c>
      <c r="D7" s="5">
        <f t="shared" si="0"/>
        <v>10.506738703257215</v>
      </c>
      <c r="E7" s="1"/>
      <c r="F7" s="5"/>
      <c r="G7" s="5">
        <f t="shared" si="1"/>
        <v>100.92966855295069</v>
      </c>
      <c r="H7" s="5">
        <f t="shared" si="2"/>
        <v>99.693831462147202</v>
      </c>
    </row>
    <row r="8" spans="1:8" x14ac:dyDescent="0.2">
      <c r="A8" s="3">
        <v>42186</v>
      </c>
      <c r="B8" s="1">
        <v>25.01</v>
      </c>
      <c r="C8" s="4">
        <v>238.03399999999999</v>
      </c>
      <c r="D8" s="5">
        <f t="shared" si="0"/>
        <v>10.506902375290926</v>
      </c>
      <c r="E8" s="1"/>
      <c r="F8" s="5"/>
      <c r="G8" s="5">
        <f t="shared" si="1"/>
        <v>101.09135004042038</v>
      </c>
      <c r="H8" s="5">
        <f t="shared" si="2"/>
        <v>99.69538447422876</v>
      </c>
    </row>
    <row r="9" spans="1:8" x14ac:dyDescent="0.2">
      <c r="A9" s="3">
        <v>42217</v>
      </c>
      <c r="B9" s="1">
        <v>25.1</v>
      </c>
      <c r="C9" s="4">
        <v>238.03299999999999</v>
      </c>
      <c r="D9" s="5">
        <f t="shared" si="0"/>
        <v>10.544756399322784</v>
      </c>
      <c r="E9" s="1"/>
      <c r="F9" s="5"/>
      <c r="G9" s="5">
        <f t="shared" si="1"/>
        <v>101.45513338722718</v>
      </c>
      <c r="H9" s="5">
        <f t="shared" si="2"/>
        <v>100.05456469166636</v>
      </c>
    </row>
    <row r="10" spans="1:8" x14ac:dyDescent="0.2">
      <c r="A10" s="3">
        <v>42248</v>
      </c>
      <c r="B10" s="1">
        <v>25.11</v>
      </c>
      <c r="C10" s="4">
        <v>237.49799999999999</v>
      </c>
      <c r="D10" s="5">
        <f t="shared" si="0"/>
        <v>10.572720612384105</v>
      </c>
      <c r="E10" s="1"/>
      <c r="F10" s="5"/>
      <c r="G10" s="5">
        <f t="shared" si="1"/>
        <v>101.49555375909458</v>
      </c>
      <c r="H10" s="5">
        <f t="shared" si="2"/>
        <v>100.31990483408779</v>
      </c>
    </row>
    <row r="11" spans="1:8" x14ac:dyDescent="0.2">
      <c r="A11" s="3">
        <v>42278</v>
      </c>
      <c r="B11" s="1">
        <v>25.2</v>
      </c>
      <c r="C11" s="4">
        <v>237.733</v>
      </c>
      <c r="D11" s="5">
        <f t="shared" si="0"/>
        <v>10.600127033268414</v>
      </c>
      <c r="E11" s="1"/>
      <c r="F11" s="5"/>
      <c r="G11" s="5">
        <f t="shared" si="1"/>
        <v>101.85933710590137</v>
      </c>
      <c r="H11" s="5">
        <f t="shared" si="2"/>
        <v>100.57995233139292</v>
      </c>
    </row>
    <row r="12" spans="1:8" x14ac:dyDescent="0.2">
      <c r="A12" s="3">
        <v>42309</v>
      </c>
      <c r="B12" s="1">
        <v>25.25</v>
      </c>
      <c r="C12" s="4">
        <v>238.017</v>
      </c>
      <c r="D12" s="5">
        <f t="shared" si="0"/>
        <v>10.60848594848267</v>
      </c>
      <c r="E12" s="1"/>
      <c r="F12" s="5"/>
      <c r="G12" s="5">
        <f t="shared" si="1"/>
        <v>102.06143896523849</v>
      </c>
      <c r="H12" s="5">
        <f t="shared" si="2"/>
        <v>100.65926640858778</v>
      </c>
    </row>
    <row r="13" spans="1:8" x14ac:dyDescent="0.2">
      <c r="A13" s="3">
        <v>42339</v>
      </c>
      <c r="B13" s="1">
        <v>25.25</v>
      </c>
      <c r="C13" s="4">
        <v>237.761</v>
      </c>
      <c r="D13" s="5">
        <f t="shared" si="0"/>
        <v>10.619908227169301</v>
      </c>
      <c r="E13" s="1"/>
      <c r="F13" s="5"/>
      <c r="G13" s="5">
        <f t="shared" si="1"/>
        <v>102.06143896523849</v>
      </c>
      <c r="H13" s="5">
        <f t="shared" si="2"/>
        <v>100.76764739706195</v>
      </c>
    </row>
    <row r="14" spans="1:8" x14ac:dyDescent="0.2">
      <c r="A14" s="3">
        <v>42370</v>
      </c>
      <c r="B14" s="1">
        <v>25.37</v>
      </c>
      <c r="C14" s="4">
        <v>237.65199999999999</v>
      </c>
      <c r="D14" s="5">
        <f t="shared" si="0"/>
        <v>10.675273088381331</v>
      </c>
      <c r="E14" s="5">
        <f>IF(OR(C14="",C2="",C2=0),"",(C14/C2-1)*100)</f>
        <v>1.2375025026943876</v>
      </c>
      <c r="F14" s="5">
        <f>IF(OR(D14="",D2="",D2=0),"",(D14/D2-1)*100)</f>
        <v>1.2929802618533826</v>
      </c>
      <c r="G14" s="5">
        <f t="shared" si="1"/>
        <v>102.54648342764754</v>
      </c>
      <c r="H14" s="5">
        <f t="shared" si="2"/>
        <v>101.29298026185339</v>
      </c>
    </row>
    <row r="15" spans="1:8" x14ac:dyDescent="0.2">
      <c r="A15" s="3">
        <v>42401</v>
      </c>
      <c r="B15" s="1">
        <v>25.38</v>
      </c>
      <c r="C15" s="4">
        <v>237.33600000000001</v>
      </c>
      <c r="D15" s="5">
        <f t="shared" si="0"/>
        <v>10.69370007078572</v>
      </c>
      <c r="E15" s="5">
        <f t="shared" ref="E15:E78" si="3">IF(OR(C15="",C3="",C3=0),"",(C15/C3-1)*100)</f>
        <v>0.84727757901266187</v>
      </c>
      <c r="F15" s="5">
        <f t="shared" ref="F15:F78" si="4">IF(OR(D15="",D3="",D3=0),"",(D15/D3-1)*100)</f>
        <v>1.5198371141126765</v>
      </c>
      <c r="G15" s="5">
        <f t="shared" si="1"/>
        <v>102.58690379951496</v>
      </c>
      <c r="H15" s="5">
        <f t="shared" si="2"/>
        <v>101.46782580908391</v>
      </c>
    </row>
    <row r="16" spans="1:8" x14ac:dyDescent="0.2">
      <c r="A16" s="3">
        <v>42430</v>
      </c>
      <c r="B16" s="1">
        <v>25.45</v>
      </c>
      <c r="C16" s="4">
        <v>238.08</v>
      </c>
      <c r="D16" s="5">
        <f t="shared" si="0"/>
        <v>10.689684139784946</v>
      </c>
      <c r="E16" s="5">
        <f t="shared" si="3"/>
        <v>0.89161609655219465</v>
      </c>
      <c r="F16" s="5">
        <f t="shared" si="4"/>
        <v>1.5094126587481771</v>
      </c>
      <c r="G16" s="5">
        <f t="shared" si="1"/>
        <v>102.86984640258692</v>
      </c>
      <c r="H16" s="5">
        <f t="shared" si="2"/>
        <v>101.42972040267166</v>
      </c>
    </row>
    <row r="17" spans="1:8" x14ac:dyDescent="0.2">
      <c r="A17" s="3">
        <v>42461</v>
      </c>
      <c r="B17" s="1">
        <v>25.53</v>
      </c>
      <c r="C17" s="4">
        <v>238.99199999999999</v>
      </c>
      <c r="D17" s="5">
        <f t="shared" si="0"/>
        <v>10.682365936935129</v>
      </c>
      <c r="E17" s="5">
        <f t="shared" si="3"/>
        <v>1.1726257503534843</v>
      </c>
      <c r="F17" s="5">
        <f t="shared" si="4"/>
        <v>1.3824767518959558</v>
      </c>
      <c r="G17" s="5">
        <f t="shared" si="1"/>
        <v>103.19320937752627</v>
      </c>
      <c r="H17" s="5">
        <f t="shared" si="2"/>
        <v>101.36028118826641</v>
      </c>
    </row>
    <row r="18" spans="1:8" x14ac:dyDescent="0.2">
      <c r="A18" s="3">
        <v>42491</v>
      </c>
      <c r="B18" s="1">
        <v>25.58</v>
      </c>
      <c r="C18" s="4">
        <v>239.55699999999999</v>
      </c>
      <c r="D18" s="5">
        <f t="shared" si="0"/>
        <v>10.678043221446252</v>
      </c>
      <c r="E18" s="5">
        <f t="shared" si="3"/>
        <v>1.0784764621246223</v>
      </c>
      <c r="F18" s="5">
        <f t="shared" si="4"/>
        <v>1.3498967371238901</v>
      </c>
      <c r="G18" s="5">
        <f t="shared" si="1"/>
        <v>103.39531123686339</v>
      </c>
      <c r="H18" s="5">
        <f t="shared" si="2"/>
        <v>101.3192648385143</v>
      </c>
    </row>
    <row r="19" spans="1:8" x14ac:dyDescent="0.2">
      <c r="A19" s="3">
        <v>42522</v>
      </c>
      <c r="B19" s="1">
        <v>25.62</v>
      </c>
      <c r="C19" s="4">
        <v>240.22200000000001</v>
      </c>
      <c r="D19" s="5">
        <f t="shared" si="0"/>
        <v>10.66513475035592</v>
      </c>
      <c r="E19" s="5">
        <f t="shared" si="3"/>
        <v>1.0792865347959424</v>
      </c>
      <c r="F19" s="5">
        <f t="shared" si="4"/>
        <v>1.5075662541184309</v>
      </c>
      <c r="G19" s="5">
        <f t="shared" si="1"/>
        <v>103.55699272433307</v>
      </c>
      <c r="H19" s="5">
        <f t="shared" si="2"/>
        <v>101.19678202270823</v>
      </c>
    </row>
    <row r="20" spans="1:8" x14ac:dyDescent="0.2">
      <c r="A20" s="3">
        <v>42552</v>
      </c>
      <c r="B20" s="1">
        <v>25.69</v>
      </c>
      <c r="C20" s="4">
        <v>240.101</v>
      </c>
      <c r="D20" s="5">
        <f t="shared" si="0"/>
        <v>10.699663891445683</v>
      </c>
      <c r="E20" s="5">
        <f t="shared" si="3"/>
        <v>0.86836334305182561</v>
      </c>
      <c r="F20" s="5">
        <f t="shared" si="4"/>
        <v>1.8346179422783493</v>
      </c>
      <c r="G20" s="5">
        <f t="shared" si="1"/>
        <v>103.83993532740503</v>
      </c>
      <c r="H20" s="5">
        <f t="shared" si="2"/>
        <v>101.52441388541634</v>
      </c>
    </row>
    <row r="21" spans="1:8" x14ac:dyDescent="0.2">
      <c r="A21" s="3">
        <v>42583</v>
      </c>
      <c r="B21" s="1">
        <v>25.71</v>
      </c>
      <c r="C21" s="4">
        <v>240.54499999999999</v>
      </c>
      <c r="D21" s="5">
        <f t="shared" si="0"/>
        <v>10.688228813735478</v>
      </c>
      <c r="E21" s="5">
        <f t="shared" si="3"/>
        <v>1.0553158595656864</v>
      </c>
      <c r="F21" s="5">
        <f t="shared" si="4"/>
        <v>1.3606043513903154</v>
      </c>
      <c r="G21" s="5">
        <f t="shared" si="1"/>
        <v>103.92077607113987</v>
      </c>
      <c r="H21" s="5">
        <f t="shared" si="2"/>
        <v>101.41591145262581</v>
      </c>
    </row>
    <row r="22" spans="1:8" x14ac:dyDescent="0.2">
      <c r="A22" s="3">
        <v>42614</v>
      </c>
      <c r="B22" s="1">
        <v>25.77</v>
      </c>
      <c r="C22" s="4">
        <v>241.17599999999999</v>
      </c>
      <c r="D22" s="5">
        <f t="shared" si="0"/>
        <v>10.685142800278635</v>
      </c>
      <c r="E22" s="5">
        <f t="shared" si="3"/>
        <v>1.5486446201652182</v>
      </c>
      <c r="F22" s="5">
        <f t="shared" si="4"/>
        <v>1.0633231692781964</v>
      </c>
      <c r="G22" s="5">
        <f t="shared" si="1"/>
        <v>104.16329830234439</v>
      </c>
      <c r="H22" s="5">
        <f t="shared" si="2"/>
        <v>101.38662962558647</v>
      </c>
    </row>
    <row r="23" spans="1:8" x14ac:dyDescent="0.2">
      <c r="A23" s="3">
        <v>42644</v>
      </c>
      <c r="B23" s="1">
        <v>25.9</v>
      </c>
      <c r="C23" s="4">
        <v>241.74100000000001</v>
      </c>
      <c r="D23" s="5">
        <f t="shared" si="0"/>
        <v>10.71394591732474</v>
      </c>
      <c r="E23" s="5">
        <f t="shared" si="3"/>
        <v>1.685924966243646</v>
      </c>
      <c r="F23" s="5">
        <f t="shared" si="4"/>
        <v>1.0737501890223156</v>
      </c>
      <c r="G23" s="5">
        <f t="shared" si="1"/>
        <v>104.68876313662085</v>
      </c>
      <c r="H23" s="5">
        <f t="shared" si="2"/>
        <v>101.65992975966979</v>
      </c>
    </row>
    <row r="24" spans="1:8" x14ac:dyDescent="0.2">
      <c r="A24" s="3">
        <v>42675</v>
      </c>
      <c r="B24" s="1">
        <v>25.9</v>
      </c>
      <c r="C24" s="4">
        <v>242.02600000000001</v>
      </c>
      <c r="D24" s="5">
        <f t="shared" si="0"/>
        <v>10.701329609215538</v>
      </c>
      <c r="E24" s="5">
        <f t="shared" si="3"/>
        <v>1.6843334719788938</v>
      </c>
      <c r="F24" s="5">
        <f t="shared" si="4"/>
        <v>0.87518295432296167</v>
      </c>
      <c r="G24" s="5">
        <f t="shared" si="1"/>
        <v>104.68876313662085</v>
      </c>
      <c r="H24" s="5">
        <f t="shared" si="2"/>
        <v>101.54021915014229</v>
      </c>
    </row>
    <row r="25" spans="1:8" x14ac:dyDescent="0.2">
      <c r="A25" s="3">
        <v>42705</v>
      </c>
      <c r="B25" s="1">
        <v>25.93</v>
      </c>
      <c r="C25" s="4">
        <v>242.637</v>
      </c>
      <c r="D25" s="5">
        <f t="shared" si="0"/>
        <v>10.686746044502692</v>
      </c>
      <c r="E25" s="5">
        <f t="shared" si="3"/>
        <v>2.0507989115119862</v>
      </c>
      <c r="F25" s="5">
        <f t="shared" si="4"/>
        <v>0.62936341730710499</v>
      </c>
      <c r="G25" s="5">
        <f t="shared" si="1"/>
        <v>104.81002425222312</v>
      </c>
      <c r="H25" s="5">
        <f t="shared" si="2"/>
        <v>101.40184210626006</v>
      </c>
    </row>
    <row r="26" spans="1:8" x14ac:dyDescent="0.2">
      <c r="A26" s="3">
        <v>42736</v>
      </c>
      <c r="B26" s="1">
        <v>26</v>
      </c>
      <c r="C26" s="4">
        <v>243.61799999999999</v>
      </c>
      <c r="D26" s="5">
        <f t="shared" si="0"/>
        <v>10.672446206766331</v>
      </c>
      <c r="E26" s="5">
        <f t="shared" si="3"/>
        <v>2.5103933482571117</v>
      </c>
      <c r="F26" s="5">
        <f t="shared" si="4"/>
        <v>-2.6480649174931425E-2</v>
      </c>
      <c r="G26" s="5">
        <f t="shared" si="1"/>
        <v>105.09296685529507</v>
      </c>
      <c r="H26" s="5">
        <f t="shared" si="2"/>
        <v>101.26615722311141</v>
      </c>
    </row>
    <row r="27" spans="1:8" x14ac:dyDescent="0.2">
      <c r="A27" s="3">
        <v>42767</v>
      </c>
      <c r="B27" s="1">
        <v>26.07</v>
      </c>
      <c r="C27" s="4">
        <v>244.006</v>
      </c>
      <c r="D27" s="5">
        <f t="shared" si="0"/>
        <v>10.684163504176126</v>
      </c>
      <c r="E27" s="5">
        <f t="shared" si="3"/>
        <v>2.8103616813294208</v>
      </c>
      <c r="F27" s="5">
        <f t="shared" si="4"/>
        <v>-8.9179297590802342E-2</v>
      </c>
      <c r="G27" s="5">
        <f t="shared" si="1"/>
        <v>105.37590945836703</v>
      </c>
      <c r="H27" s="5">
        <f t="shared" si="2"/>
        <v>101.37733751474671</v>
      </c>
    </row>
    <row r="28" spans="1:8" x14ac:dyDescent="0.2">
      <c r="A28" s="3">
        <v>42795</v>
      </c>
      <c r="B28" s="1">
        <v>26.11</v>
      </c>
      <c r="C28" s="4">
        <v>243.892</v>
      </c>
      <c r="D28" s="5">
        <f t="shared" si="0"/>
        <v>10.70555819789087</v>
      </c>
      <c r="E28" s="5">
        <f t="shared" si="3"/>
        <v>2.44119623655914</v>
      </c>
      <c r="F28" s="5">
        <f t="shared" si="4"/>
        <v>0.14849885083922931</v>
      </c>
      <c r="G28" s="5">
        <f t="shared" si="1"/>
        <v>105.5375909458367</v>
      </c>
      <c r="H28" s="5">
        <f t="shared" si="2"/>
        <v>101.58034237187907</v>
      </c>
    </row>
    <row r="29" spans="1:8" x14ac:dyDescent="0.2">
      <c r="A29" s="3">
        <v>42826</v>
      </c>
      <c r="B29" s="1">
        <v>26.18</v>
      </c>
      <c r="C29" s="4">
        <v>244.19300000000001</v>
      </c>
      <c r="D29" s="5">
        <f t="shared" si="0"/>
        <v>10.721028039296785</v>
      </c>
      <c r="E29" s="5">
        <f t="shared" si="3"/>
        <v>2.176223471915395</v>
      </c>
      <c r="F29" s="5">
        <f t="shared" si="4"/>
        <v>0.36192452673782238</v>
      </c>
      <c r="G29" s="5">
        <f t="shared" si="1"/>
        <v>105.82053354890866</v>
      </c>
      <c r="H29" s="5">
        <f t="shared" si="2"/>
        <v>101.72712890625719</v>
      </c>
    </row>
    <row r="30" spans="1:8" x14ac:dyDescent="0.2">
      <c r="A30" s="3">
        <v>42856</v>
      </c>
      <c r="B30" s="1">
        <v>26.21</v>
      </c>
      <c r="C30" s="4">
        <v>244.00399999999999</v>
      </c>
      <c r="D30" s="5">
        <f t="shared" si="0"/>
        <v>10.741627186439567</v>
      </c>
      <c r="E30" s="5">
        <f t="shared" si="3"/>
        <v>1.8563431667619756</v>
      </c>
      <c r="F30" s="5">
        <f t="shared" si="4"/>
        <v>0.59546457786956442</v>
      </c>
      <c r="G30" s="5">
        <f t="shared" si="1"/>
        <v>105.94179466451092</v>
      </c>
      <c r="H30" s="5">
        <f t="shared" si="2"/>
        <v>101.9225851711855</v>
      </c>
    </row>
    <row r="31" spans="1:8" x14ac:dyDescent="0.2">
      <c r="A31" s="3">
        <v>42887</v>
      </c>
      <c r="B31" s="1">
        <v>26.26</v>
      </c>
      <c r="C31" s="4">
        <v>244.16300000000001</v>
      </c>
      <c r="D31" s="5">
        <f t="shared" si="0"/>
        <v>10.755110315649793</v>
      </c>
      <c r="E31" s="5">
        <f t="shared" si="3"/>
        <v>1.6405658099591269</v>
      </c>
      <c r="F31" s="5">
        <f t="shared" si="4"/>
        <v>0.84364208610556712</v>
      </c>
      <c r="G31" s="5">
        <f t="shared" si="1"/>
        <v>106.14389652384804</v>
      </c>
      <c r="H31" s="5">
        <f t="shared" si="2"/>
        <v>102.05052066563631</v>
      </c>
    </row>
    <row r="32" spans="1:8" x14ac:dyDescent="0.2">
      <c r="A32" s="3">
        <v>42917</v>
      </c>
      <c r="B32" s="1">
        <v>26.35</v>
      </c>
      <c r="C32" s="4">
        <v>244.24299999999999</v>
      </c>
      <c r="D32" s="5">
        <f t="shared" si="0"/>
        <v>10.788436106664266</v>
      </c>
      <c r="E32" s="5">
        <f t="shared" si="3"/>
        <v>1.7251073506566073</v>
      </c>
      <c r="F32" s="5">
        <f t="shared" si="4"/>
        <v>0.82967293289983868</v>
      </c>
      <c r="G32" s="5">
        <f t="shared" si="1"/>
        <v>106.50767987065481</v>
      </c>
      <c r="H32" s="5">
        <f t="shared" si="2"/>
        <v>102.36673446770885</v>
      </c>
    </row>
    <row r="33" spans="1:8" x14ac:dyDescent="0.2">
      <c r="A33" s="3">
        <v>42948</v>
      </c>
      <c r="B33" s="1">
        <v>26.37</v>
      </c>
      <c r="C33" s="4">
        <v>245.18299999999999</v>
      </c>
      <c r="D33" s="5">
        <f t="shared" si="0"/>
        <v>10.755231806446613</v>
      </c>
      <c r="E33" s="5">
        <f t="shared" si="3"/>
        <v>1.9281215572969801</v>
      </c>
      <c r="F33" s="5">
        <f t="shared" si="4"/>
        <v>0.62688583748347071</v>
      </c>
      <c r="G33" s="5">
        <f t="shared" si="1"/>
        <v>106.58852061438967</v>
      </c>
      <c r="H33" s="5">
        <f t="shared" si="2"/>
        <v>102.0516734384771</v>
      </c>
    </row>
    <row r="34" spans="1:8" x14ac:dyDescent="0.2">
      <c r="A34" s="3">
        <v>42979</v>
      </c>
      <c r="B34" s="1">
        <v>26.49</v>
      </c>
      <c r="C34" s="4">
        <v>246.435</v>
      </c>
      <c r="D34" s="5">
        <f t="shared" si="0"/>
        <v>10.749284801266052</v>
      </c>
      <c r="E34" s="5">
        <f t="shared" si="3"/>
        <v>2.1805652303711787</v>
      </c>
      <c r="F34" s="5">
        <f t="shared" si="4"/>
        <v>0.60029147187199428</v>
      </c>
      <c r="G34" s="5">
        <f t="shared" si="1"/>
        <v>107.0735650767987</v>
      </c>
      <c r="H34" s="5">
        <f t="shared" si="2"/>
        <v>101.9952449168473</v>
      </c>
    </row>
    <row r="35" spans="1:8" x14ac:dyDescent="0.2">
      <c r="A35" s="3">
        <v>43009</v>
      </c>
      <c r="B35" s="1">
        <v>26.5</v>
      </c>
      <c r="C35" s="4">
        <v>246.626</v>
      </c>
      <c r="D35" s="5">
        <f t="shared" si="0"/>
        <v>10.745014718642803</v>
      </c>
      <c r="E35" s="5">
        <f t="shared" si="3"/>
        <v>2.020757753132485</v>
      </c>
      <c r="F35" s="5">
        <f t="shared" si="4"/>
        <v>0.28998467565366504</v>
      </c>
      <c r="G35" s="5">
        <f t="shared" si="1"/>
        <v>107.11398544866613</v>
      </c>
      <c r="H35" s="5">
        <f t="shared" si="2"/>
        <v>101.95472797725313</v>
      </c>
    </row>
    <row r="36" spans="1:8" x14ac:dyDescent="0.2">
      <c r="A36" s="3">
        <v>43040</v>
      </c>
      <c r="B36" s="1">
        <v>26.54</v>
      </c>
      <c r="C36" s="4">
        <v>247.28399999999999</v>
      </c>
      <c r="D36" s="5">
        <f t="shared" si="0"/>
        <v>10.732598955047637</v>
      </c>
      <c r="E36" s="5">
        <f t="shared" si="3"/>
        <v>2.172493864295566</v>
      </c>
      <c r="F36" s="5">
        <f t="shared" si="4"/>
        <v>0.29220056734979849</v>
      </c>
      <c r="G36" s="5">
        <f t="shared" si="1"/>
        <v>107.27566693613582</v>
      </c>
      <c r="H36" s="5">
        <f t="shared" si="2"/>
        <v>101.83692024658721</v>
      </c>
    </row>
    <row r="37" spans="1:8" x14ac:dyDescent="0.2">
      <c r="A37" s="3">
        <v>43070</v>
      </c>
      <c r="B37" s="1">
        <v>26.63</v>
      </c>
      <c r="C37" s="4">
        <v>247.80500000000001</v>
      </c>
      <c r="D37" s="5">
        <f t="shared" si="0"/>
        <v>10.746352979156997</v>
      </c>
      <c r="E37" s="5">
        <f t="shared" si="3"/>
        <v>2.1299307195522532</v>
      </c>
      <c r="F37" s="5">
        <f t="shared" si="4"/>
        <v>0.55776505220657135</v>
      </c>
      <c r="G37" s="5">
        <f t="shared" si="1"/>
        <v>107.63945028294259</v>
      </c>
      <c r="H37" s="5">
        <f t="shared" si="2"/>
        <v>101.96742614382248</v>
      </c>
    </row>
    <row r="38" spans="1:8" x14ac:dyDescent="0.2">
      <c r="A38" s="3">
        <v>43101</v>
      </c>
      <c r="B38" s="1">
        <v>26.72</v>
      </c>
      <c r="C38" s="4">
        <v>248.85900000000001</v>
      </c>
      <c r="D38" s="5">
        <f t="shared" si="0"/>
        <v>10.737003684817505</v>
      </c>
      <c r="E38" s="5">
        <f t="shared" si="3"/>
        <v>2.151318868063945</v>
      </c>
      <c r="F38" s="5">
        <f t="shared" si="4"/>
        <v>0.60489860337964441</v>
      </c>
      <c r="G38" s="5">
        <f t="shared" si="1"/>
        <v>108.00323362974939</v>
      </c>
      <c r="H38" s="5">
        <f t="shared" si="2"/>
        <v>101.87871479385025</v>
      </c>
    </row>
    <row r="39" spans="1:8" x14ac:dyDescent="0.2">
      <c r="A39" s="3">
        <v>43132</v>
      </c>
      <c r="B39" s="1">
        <v>26.74</v>
      </c>
      <c r="C39" s="4">
        <v>249.529</v>
      </c>
      <c r="D39" s="5">
        <f t="shared" si="0"/>
        <v>10.716189300642409</v>
      </c>
      <c r="E39" s="5">
        <f t="shared" si="3"/>
        <v>2.263468931091861</v>
      </c>
      <c r="F39" s="5">
        <f t="shared" si="4"/>
        <v>0.29975015314736009</v>
      </c>
      <c r="G39" s="5">
        <f t="shared" si="1"/>
        <v>108.08407437348424</v>
      </c>
      <c r="H39" s="5">
        <f t="shared" si="2"/>
        <v>101.68121623920388</v>
      </c>
    </row>
    <row r="40" spans="1:8" x14ac:dyDescent="0.2">
      <c r="A40" s="3">
        <v>43160</v>
      </c>
      <c r="B40" s="1">
        <v>26.85</v>
      </c>
      <c r="C40" s="4">
        <v>249.577</v>
      </c>
      <c r="D40" s="5">
        <f t="shared" si="0"/>
        <v>10.75820287927173</v>
      </c>
      <c r="E40" s="5">
        <f t="shared" si="3"/>
        <v>2.3309497646499366</v>
      </c>
      <c r="F40" s="5">
        <f t="shared" si="4"/>
        <v>0.4917509242183371</v>
      </c>
      <c r="G40" s="5">
        <f t="shared" si="1"/>
        <v>108.52869846402588</v>
      </c>
      <c r="H40" s="5">
        <f t="shared" si="2"/>
        <v>102.07986464431693</v>
      </c>
    </row>
    <row r="41" spans="1:8" x14ac:dyDescent="0.2">
      <c r="A41" s="3">
        <v>43191</v>
      </c>
      <c r="B41" s="1">
        <v>26.91</v>
      </c>
      <c r="C41" s="4">
        <v>250.227</v>
      </c>
      <c r="D41" s="5">
        <f t="shared" si="0"/>
        <v>10.754235154479733</v>
      </c>
      <c r="E41" s="5">
        <f t="shared" si="3"/>
        <v>2.4709963021052994</v>
      </c>
      <c r="F41" s="5">
        <f t="shared" si="4"/>
        <v>0.3097381618743178</v>
      </c>
      <c r="G41" s="5">
        <f t="shared" si="1"/>
        <v>108.7712206952304</v>
      </c>
      <c r="H41" s="5">
        <f t="shared" si="2"/>
        <v>102.04221664545894</v>
      </c>
    </row>
    <row r="42" spans="1:8" x14ac:dyDescent="0.2">
      <c r="A42" s="3">
        <v>43221</v>
      </c>
      <c r="B42" s="1">
        <v>26.98</v>
      </c>
      <c r="C42" s="4">
        <v>250.792</v>
      </c>
      <c r="D42" s="5">
        <f t="shared" si="0"/>
        <v>10.757918912883984</v>
      </c>
      <c r="E42" s="5">
        <f t="shared" si="3"/>
        <v>2.7819216078424969</v>
      </c>
      <c r="F42" s="5">
        <f t="shared" si="4"/>
        <v>0.15166907361097159</v>
      </c>
      <c r="G42" s="5">
        <f t="shared" si="1"/>
        <v>109.05416329830236</v>
      </c>
      <c r="H42" s="5">
        <f t="shared" si="2"/>
        <v>102.07717021191498</v>
      </c>
    </row>
    <row r="43" spans="1:8" x14ac:dyDescent="0.2">
      <c r="A43" s="3">
        <v>43252</v>
      </c>
      <c r="B43" s="1">
        <v>27.03</v>
      </c>
      <c r="C43" s="4">
        <v>251.018</v>
      </c>
      <c r="D43" s="5">
        <f t="shared" si="0"/>
        <v>10.768152084711057</v>
      </c>
      <c r="E43" s="5">
        <f t="shared" si="3"/>
        <v>2.8075506935940187</v>
      </c>
      <c r="F43" s="5">
        <f t="shared" si="4"/>
        <v>0.12126113706418806</v>
      </c>
      <c r="G43" s="5">
        <f t="shared" si="1"/>
        <v>109.25626515763946</v>
      </c>
      <c r="H43" s="5">
        <f t="shared" si="2"/>
        <v>102.17426828737537</v>
      </c>
    </row>
    <row r="44" spans="1:8" x14ac:dyDescent="0.2">
      <c r="A44" s="3">
        <v>43282</v>
      </c>
      <c r="B44" s="1">
        <v>27.1</v>
      </c>
      <c r="C44" s="4">
        <v>251.214</v>
      </c>
      <c r="D44" s="5">
        <f t="shared" si="0"/>
        <v>10.787615339909401</v>
      </c>
      <c r="E44" s="5">
        <f t="shared" si="3"/>
        <v>2.8541247855619289</v>
      </c>
      <c r="F44" s="5">
        <f t="shared" si="4"/>
        <v>-7.6078381217592472E-3</v>
      </c>
      <c r="G44" s="5">
        <f t="shared" si="1"/>
        <v>109.53920776071142</v>
      </c>
      <c r="H44" s="5">
        <f t="shared" si="2"/>
        <v>102.35894657226001</v>
      </c>
    </row>
    <row r="45" spans="1:8" x14ac:dyDescent="0.2">
      <c r="A45" s="3">
        <v>43313</v>
      </c>
      <c r="B45" s="1">
        <v>27.21</v>
      </c>
      <c r="C45" s="4">
        <v>251.66300000000001</v>
      </c>
      <c r="D45" s="5">
        <f t="shared" si="0"/>
        <v>10.81207805676639</v>
      </c>
      <c r="E45" s="5">
        <f t="shared" si="3"/>
        <v>2.6429238568742575</v>
      </c>
      <c r="F45" s="5">
        <f t="shared" si="4"/>
        <v>0.52854509640325453</v>
      </c>
      <c r="G45" s="5">
        <f t="shared" si="1"/>
        <v>109.98383185125304</v>
      </c>
      <c r="H45" s="5">
        <f t="shared" si="2"/>
        <v>102.59106255423364</v>
      </c>
    </row>
    <row r="46" spans="1:8" x14ac:dyDescent="0.2">
      <c r="A46" s="3">
        <v>43344</v>
      </c>
      <c r="B46" s="1">
        <v>27.32</v>
      </c>
      <c r="C46" s="4">
        <v>252.18199999999999</v>
      </c>
      <c r="D46" s="5">
        <f t="shared" si="0"/>
        <v>10.833445686052137</v>
      </c>
      <c r="E46" s="5">
        <f t="shared" si="3"/>
        <v>2.3320551058088279</v>
      </c>
      <c r="F46" s="5">
        <f t="shared" si="4"/>
        <v>0.78294404085537117</v>
      </c>
      <c r="G46" s="5">
        <f t="shared" si="1"/>
        <v>110.42845594179467</v>
      </c>
      <c r="H46" s="5">
        <f t="shared" si="2"/>
        <v>102.7938106088796</v>
      </c>
    </row>
    <row r="47" spans="1:8" x14ac:dyDescent="0.2">
      <c r="A47" s="3">
        <v>43374</v>
      </c>
      <c r="B47" s="1">
        <v>27.37</v>
      </c>
      <c r="C47" s="4">
        <v>252.77199999999999</v>
      </c>
      <c r="D47" s="5">
        <f t="shared" si="0"/>
        <v>10.827939803459245</v>
      </c>
      <c r="E47" s="5">
        <f t="shared" si="3"/>
        <v>2.492032470218053</v>
      </c>
      <c r="F47" s="5">
        <f t="shared" si="4"/>
        <v>0.77175403652602892</v>
      </c>
      <c r="G47" s="5">
        <f t="shared" si="1"/>
        <v>110.63055780113177</v>
      </c>
      <c r="H47" s="5">
        <f t="shared" si="2"/>
        <v>102.74156770584671</v>
      </c>
    </row>
    <row r="48" spans="1:8" x14ac:dyDescent="0.2">
      <c r="A48" s="3">
        <v>43405</v>
      </c>
      <c r="B48" s="1">
        <v>27.44</v>
      </c>
      <c r="C48" s="4">
        <v>252.59399999999999</v>
      </c>
      <c r="D48" s="5">
        <f t="shared" si="0"/>
        <v>10.863282579950436</v>
      </c>
      <c r="E48" s="5">
        <f t="shared" si="3"/>
        <v>2.1473285776677731</v>
      </c>
      <c r="F48" s="5">
        <f t="shared" si="4"/>
        <v>1.2176326111704494</v>
      </c>
      <c r="G48" s="5">
        <f t="shared" si="1"/>
        <v>110.91350040420373</v>
      </c>
      <c r="H48" s="5">
        <f t="shared" si="2"/>
        <v>103.07691979772132</v>
      </c>
    </row>
    <row r="49" spans="1:8" x14ac:dyDescent="0.2">
      <c r="A49" s="3">
        <v>43435</v>
      </c>
      <c r="B49" s="1">
        <v>27.56</v>
      </c>
      <c r="C49" s="4">
        <v>252.767</v>
      </c>
      <c r="D49" s="5">
        <f t="shared" si="0"/>
        <v>10.903322031752563</v>
      </c>
      <c r="E49" s="5">
        <f t="shared" si="3"/>
        <v>2.0023809043401064</v>
      </c>
      <c r="F49" s="5">
        <f t="shared" si="4"/>
        <v>1.4606727780114293</v>
      </c>
      <c r="G49" s="5">
        <f t="shared" si="1"/>
        <v>111.39854486661278</v>
      </c>
      <c r="H49" s="5">
        <f t="shared" si="2"/>
        <v>103.45683657994418</v>
      </c>
    </row>
    <row r="50" spans="1:8" x14ac:dyDescent="0.2">
      <c r="A50" s="3">
        <v>43466</v>
      </c>
      <c r="B50" s="1">
        <v>27.59</v>
      </c>
      <c r="C50" s="4">
        <v>252.56100000000001</v>
      </c>
      <c r="D50" s="5">
        <f t="shared" si="0"/>
        <v>10.924093585312063</v>
      </c>
      <c r="E50" s="5">
        <f t="shared" si="3"/>
        <v>1.4875893578291333</v>
      </c>
      <c r="F50" s="5">
        <f t="shared" si="4"/>
        <v>1.7424777525140378</v>
      </c>
      <c r="G50" s="5">
        <f t="shared" si="1"/>
        <v>111.51980598221505</v>
      </c>
      <c r="H50" s="5">
        <f t="shared" si="2"/>
        <v>103.65392873368033</v>
      </c>
    </row>
    <row r="51" spans="1:8" x14ac:dyDescent="0.2">
      <c r="A51" s="3">
        <v>43497</v>
      </c>
      <c r="B51" s="1">
        <v>27.69</v>
      </c>
      <c r="C51" s="4">
        <v>253.31899999999999</v>
      </c>
      <c r="D51" s="5">
        <f t="shared" si="0"/>
        <v>10.93088161567036</v>
      </c>
      <c r="E51" s="5">
        <f t="shared" si="3"/>
        <v>1.5188615351321877</v>
      </c>
      <c r="F51" s="5">
        <f t="shared" si="4"/>
        <v>2.0034389931417262</v>
      </c>
      <c r="G51" s="5">
        <f t="shared" si="1"/>
        <v>111.92400970088927</v>
      </c>
      <c r="H51" s="5">
        <f t="shared" si="2"/>
        <v>103.71833737404084</v>
      </c>
    </row>
    <row r="52" spans="1:8" x14ac:dyDescent="0.2">
      <c r="A52" s="3">
        <v>43525</v>
      </c>
      <c r="B52" s="1">
        <v>27.77</v>
      </c>
      <c r="C52" s="4">
        <v>254.27699999999999</v>
      </c>
      <c r="D52" s="5">
        <f t="shared" si="0"/>
        <v>10.921160781352619</v>
      </c>
      <c r="E52" s="5">
        <f t="shared" si="3"/>
        <v>1.8831863513063984</v>
      </c>
      <c r="F52" s="5">
        <f t="shared" si="4"/>
        <v>1.5147316323144144</v>
      </c>
      <c r="G52" s="5">
        <f t="shared" si="1"/>
        <v>112.24737267582863</v>
      </c>
      <c r="H52" s="5">
        <f t="shared" si="2"/>
        <v>103.62610064430815</v>
      </c>
    </row>
    <row r="53" spans="1:8" x14ac:dyDescent="0.2">
      <c r="A53" s="3">
        <v>43556</v>
      </c>
      <c r="B53" s="1">
        <v>27.79</v>
      </c>
      <c r="C53" s="4">
        <v>255.233</v>
      </c>
      <c r="D53" s="5">
        <f t="shared" si="0"/>
        <v>10.888090489866121</v>
      </c>
      <c r="E53" s="5">
        <f t="shared" si="3"/>
        <v>2.0005834702090608</v>
      </c>
      <c r="F53" s="5">
        <f t="shared" si="4"/>
        <v>1.244675548410612</v>
      </c>
      <c r="G53" s="5">
        <f t="shared" si="1"/>
        <v>112.32821341956347</v>
      </c>
      <c r="H53" s="5">
        <f t="shared" si="2"/>
        <v>103.31231116510115</v>
      </c>
    </row>
    <row r="54" spans="1:8" x14ac:dyDescent="0.2">
      <c r="A54" s="3">
        <v>43586</v>
      </c>
      <c r="B54" s="1">
        <v>27.88</v>
      </c>
      <c r="C54" s="4">
        <v>255.29599999999999</v>
      </c>
      <c r="D54" s="5">
        <f t="shared" si="0"/>
        <v>10.920656806217096</v>
      </c>
      <c r="E54" s="5">
        <f t="shared" si="3"/>
        <v>1.7959105553606136</v>
      </c>
      <c r="F54" s="5">
        <f t="shared" si="4"/>
        <v>1.5127265287175007</v>
      </c>
      <c r="G54" s="5">
        <f t="shared" si="1"/>
        <v>112.69199676637025</v>
      </c>
      <c r="H54" s="5">
        <f t="shared" si="2"/>
        <v>103.62131864547474</v>
      </c>
    </row>
    <row r="55" spans="1:8" x14ac:dyDescent="0.2">
      <c r="A55" s="3">
        <v>43617</v>
      </c>
      <c r="B55" s="1">
        <v>27.97</v>
      </c>
      <c r="C55" s="4">
        <v>255.21299999999999</v>
      </c>
      <c r="D55" s="5">
        <f t="shared" si="0"/>
        <v>10.959473067594519</v>
      </c>
      <c r="E55" s="5">
        <f t="shared" si="3"/>
        <v>1.671194894390049</v>
      </c>
      <c r="F55" s="5">
        <f t="shared" si="4"/>
        <v>1.7767299475190956</v>
      </c>
      <c r="G55" s="5">
        <f t="shared" si="1"/>
        <v>113.05578011317705</v>
      </c>
      <c r="H55" s="5">
        <f t="shared" si="2"/>
        <v>103.98962911069567</v>
      </c>
    </row>
    <row r="56" spans="1:8" x14ac:dyDescent="0.2">
      <c r="A56" s="3">
        <v>43647</v>
      </c>
      <c r="B56" s="1">
        <v>28.03</v>
      </c>
      <c r="C56" s="4">
        <v>255.80199999999999</v>
      </c>
      <c r="D56" s="5">
        <f t="shared" si="0"/>
        <v>10.957693841330403</v>
      </c>
      <c r="E56" s="5">
        <f t="shared" si="3"/>
        <v>1.826331335037068</v>
      </c>
      <c r="F56" s="5">
        <f t="shared" si="4"/>
        <v>1.5766088802943168</v>
      </c>
      <c r="G56" s="5">
        <f t="shared" si="1"/>
        <v>113.29830234438158</v>
      </c>
      <c r="H56" s="5">
        <f t="shared" si="2"/>
        <v>103.97274681369395</v>
      </c>
    </row>
    <row r="57" spans="1:8" x14ac:dyDescent="0.2">
      <c r="A57" s="3">
        <v>43678</v>
      </c>
      <c r="B57" s="1">
        <v>28.14</v>
      </c>
      <c r="C57" s="4">
        <v>256.036</v>
      </c>
      <c r="D57" s="5">
        <f t="shared" si="0"/>
        <v>10.990641940977049</v>
      </c>
      <c r="E57" s="5">
        <f t="shared" si="3"/>
        <v>1.7376412106666406</v>
      </c>
      <c r="F57" s="5">
        <f t="shared" si="4"/>
        <v>1.6515223370858978</v>
      </c>
      <c r="G57" s="5">
        <f t="shared" si="1"/>
        <v>113.74292643492321</v>
      </c>
      <c r="H57" s="5">
        <f t="shared" si="2"/>
        <v>104.28537686817056</v>
      </c>
    </row>
    <row r="58" spans="1:8" x14ac:dyDescent="0.2">
      <c r="A58" s="3">
        <v>43709</v>
      </c>
      <c r="B58" s="1">
        <v>28.16</v>
      </c>
      <c r="C58" s="4">
        <v>256.43</v>
      </c>
      <c r="D58" s="5">
        <f t="shared" si="0"/>
        <v>10.981554420309635</v>
      </c>
      <c r="E58" s="5">
        <f t="shared" si="3"/>
        <v>1.6844977040391562</v>
      </c>
      <c r="F58" s="5">
        <f t="shared" si="4"/>
        <v>1.3671433683208001</v>
      </c>
      <c r="G58" s="5">
        <f t="shared" si="1"/>
        <v>113.82376717865806</v>
      </c>
      <c r="H58" s="5">
        <f t="shared" si="2"/>
        <v>104.19914937366315</v>
      </c>
    </row>
    <row r="59" spans="1:8" x14ac:dyDescent="0.2">
      <c r="A59" s="3">
        <v>43739</v>
      </c>
      <c r="B59" s="1">
        <v>28.24</v>
      </c>
      <c r="C59" s="4">
        <v>257.15499999999997</v>
      </c>
      <c r="D59" s="5">
        <f t="shared" si="0"/>
        <v>10.981703641772473</v>
      </c>
      <c r="E59" s="5">
        <f t="shared" si="3"/>
        <v>1.7339736996186295</v>
      </c>
      <c r="F59" s="5">
        <f t="shared" si="4"/>
        <v>1.4200655074209534</v>
      </c>
      <c r="G59" s="5">
        <f t="shared" si="1"/>
        <v>114.1471301535974</v>
      </c>
      <c r="H59" s="5">
        <f t="shared" si="2"/>
        <v>104.20056527062098</v>
      </c>
    </row>
    <row r="60" spans="1:8" x14ac:dyDescent="0.2">
      <c r="A60" s="3">
        <v>43770</v>
      </c>
      <c r="B60" s="1">
        <v>28.34</v>
      </c>
      <c r="C60" s="4">
        <v>257.87900000000002</v>
      </c>
      <c r="D60" s="5">
        <f t="shared" si="0"/>
        <v>10.989650184776581</v>
      </c>
      <c r="E60" s="5">
        <f t="shared" si="3"/>
        <v>2.0922903948629168</v>
      </c>
      <c r="F60" s="5">
        <f t="shared" si="4"/>
        <v>1.16325432847868</v>
      </c>
      <c r="G60" s="5">
        <f t="shared" si="1"/>
        <v>114.55133387227163</v>
      </c>
      <c r="H60" s="5">
        <f t="shared" si="2"/>
        <v>104.27596652893081</v>
      </c>
    </row>
    <row r="61" spans="1:8" x14ac:dyDescent="0.2">
      <c r="A61" s="3">
        <v>43800</v>
      </c>
      <c r="B61" s="1">
        <v>28.38</v>
      </c>
      <c r="C61" s="4">
        <v>258.63</v>
      </c>
      <c r="D61" s="5">
        <f t="shared" si="0"/>
        <v>10.973204964621273</v>
      </c>
      <c r="E61" s="5">
        <f t="shared" si="3"/>
        <v>2.3195274699624457</v>
      </c>
      <c r="F61" s="5">
        <f t="shared" si="4"/>
        <v>0.64093248521137625</v>
      </c>
      <c r="G61" s="5">
        <f t="shared" si="1"/>
        <v>114.71301535974132</v>
      </c>
      <c r="H61" s="5">
        <f t="shared" si="2"/>
        <v>104.11992505375709</v>
      </c>
    </row>
    <row r="62" spans="1:8" x14ac:dyDescent="0.2">
      <c r="A62" s="3">
        <v>43831</v>
      </c>
      <c r="B62" s="1">
        <v>28.43</v>
      </c>
      <c r="C62" s="4">
        <v>259.12700000000001</v>
      </c>
      <c r="D62" s="5">
        <f t="shared" si="0"/>
        <v>10.971454151825167</v>
      </c>
      <c r="E62" s="5">
        <f t="shared" si="3"/>
        <v>2.599767976845202</v>
      </c>
      <c r="F62" s="5">
        <f t="shared" si="4"/>
        <v>0.43354229935179678</v>
      </c>
      <c r="G62" s="5">
        <f t="shared" si="1"/>
        <v>114.91511721907841</v>
      </c>
      <c r="H62" s="5">
        <f t="shared" si="2"/>
        <v>104.1033123596808</v>
      </c>
    </row>
    <row r="63" spans="1:8" x14ac:dyDescent="0.2">
      <c r="A63" s="3">
        <v>43862</v>
      </c>
      <c r="B63" s="1">
        <v>28.54</v>
      </c>
      <c r="C63" s="4">
        <v>259.25</v>
      </c>
      <c r="D63" s="5">
        <f t="shared" si="0"/>
        <v>11.00867888138862</v>
      </c>
      <c r="E63" s="5">
        <f t="shared" si="3"/>
        <v>2.3413166797595197</v>
      </c>
      <c r="F63" s="5">
        <f t="shared" si="4"/>
        <v>0.71171995501928542</v>
      </c>
      <c r="G63" s="5">
        <f t="shared" si="1"/>
        <v>115.35974130962006</v>
      </c>
      <c r="H63" s="5">
        <f t="shared" si="2"/>
        <v>104.45652147814613</v>
      </c>
    </row>
    <row r="64" spans="1:8" x14ac:dyDescent="0.2">
      <c r="A64" s="3">
        <v>43891</v>
      </c>
      <c r="B64" s="1">
        <v>28.73</v>
      </c>
      <c r="C64" s="4">
        <v>258.07600000000002</v>
      </c>
      <c r="D64" s="5">
        <f t="shared" si="0"/>
        <v>11.132379609107394</v>
      </c>
      <c r="E64" s="5">
        <f t="shared" si="3"/>
        <v>1.4940399642909163</v>
      </c>
      <c r="F64" s="5">
        <f t="shared" si="4"/>
        <v>1.9340327643140531</v>
      </c>
      <c r="G64" s="5">
        <f t="shared" si="1"/>
        <v>116.12772837510106</v>
      </c>
      <c r="H64" s="5">
        <f t="shared" si="2"/>
        <v>105.63026338315011</v>
      </c>
    </row>
    <row r="65" spans="1:8" x14ac:dyDescent="0.2">
      <c r="A65" s="3">
        <v>43922</v>
      </c>
      <c r="B65" s="1">
        <v>30.04</v>
      </c>
      <c r="C65" s="4">
        <v>256.03199999999998</v>
      </c>
      <c r="D65" s="5">
        <f t="shared" si="0"/>
        <v>11.732908386451694</v>
      </c>
      <c r="E65" s="5">
        <f t="shared" si="3"/>
        <v>0.31304729404111331</v>
      </c>
      <c r="F65" s="5">
        <f t="shared" si="4"/>
        <v>7.7591006188997946</v>
      </c>
      <c r="G65" s="5">
        <f t="shared" si="1"/>
        <v>121.42279708973322</v>
      </c>
      <c r="H65" s="5">
        <f t="shared" si="2"/>
        <v>111.32841734011221</v>
      </c>
    </row>
    <row r="66" spans="1:8" x14ac:dyDescent="0.2">
      <c r="A66" s="3">
        <v>43952</v>
      </c>
      <c r="B66" s="1">
        <v>29.72</v>
      </c>
      <c r="C66" s="4">
        <v>255.80199999999999</v>
      </c>
      <c r="D66" s="5">
        <f t="shared" si="0"/>
        <v>11.618361076144829</v>
      </c>
      <c r="E66" s="5">
        <f t="shared" si="3"/>
        <v>0.1982013035848551</v>
      </c>
      <c r="F66" s="5">
        <f t="shared" si="4"/>
        <v>6.3888489704257756</v>
      </c>
      <c r="G66" s="5">
        <f t="shared" si="1"/>
        <v>120.12934518997575</v>
      </c>
      <c r="H66" s="5">
        <f t="shared" si="2"/>
        <v>110.24152819489777</v>
      </c>
    </row>
    <row r="67" spans="1:8" x14ac:dyDescent="0.2">
      <c r="A67" s="3">
        <v>43983</v>
      </c>
      <c r="B67" s="1">
        <v>29.38</v>
      </c>
      <c r="C67" s="4">
        <v>257.04199999999997</v>
      </c>
      <c r="D67" s="5">
        <f t="shared" ref="D67:D130" si="5">B67/C67*100</f>
        <v>11.430038670723073</v>
      </c>
      <c r="E67" s="5">
        <f t="shared" si="3"/>
        <v>0.71665628318304808</v>
      </c>
      <c r="F67" s="5">
        <f t="shared" si="4"/>
        <v>4.2936882113424168</v>
      </c>
      <c r="G67" s="5">
        <f t="shared" ref="G67:G130" si="6">B67/$B$2*100</f>
        <v>118.75505254648344</v>
      </c>
      <c r="H67" s="5">
        <f t="shared" ref="H67:H130" si="7">IF(D67="","",D67/$D$2*100)</f>
        <v>108.45461955684033</v>
      </c>
    </row>
    <row r="68" spans="1:8" x14ac:dyDescent="0.2">
      <c r="A68" s="3">
        <v>44013</v>
      </c>
      <c r="B68" s="1">
        <v>29.39</v>
      </c>
      <c r="C68" s="4">
        <v>258.35199999999998</v>
      </c>
      <c r="D68" s="5">
        <f t="shared" si="5"/>
        <v>11.375952189261165</v>
      </c>
      <c r="E68" s="5">
        <f t="shared" si="3"/>
        <v>0.99686476258979972</v>
      </c>
      <c r="F68" s="5">
        <f t="shared" si="4"/>
        <v>3.8170289660144352</v>
      </c>
      <c r="G68" s="5">
        <f t="shared" si="6"/>
        <v>118.79547291835087</v>
      </c>
      <c r="H68" s="5">
        <f t="shared" si="7"/>
        <v>107.9414166763335</v>
      </c>
    </row>
    <row r="69" spans="1:8" x14ac:dyDescent="0.2">
      <c r="A69" s="3">
        <v>44044</v>
      </c>
      <c r="B69" s="1">
        <v>29.49</v>
      </c>
      <c r="C69" s="4">
        <v>259.31599999999997</v>
      </c>
      <c r="D69" s="5">
        <f t="shared" si="5"/>
        <v>11.372225392956855</v>
      </c>
      <c r="E69" s="5">
        <f t="shared" si="3"/>
        <v>1.2810698495523853</v>
      </c>
      <c r="F69" s="5">
        <f t="shared" si="4"/>
        <v>3.4718941261940861</v>
      </c>
      <c r="G69" s="5">
        <f t="shared" si="6"/>
        <v>119.19967663702506</v>
      </c>
      <c r="H69" s="5">
        <f t="shared" si="7"/>
        <v>107.90605474213595</v>
      </c>
    </row>
    <row r="70" spans="1:8" x14ac:dyDescent="0.2">
      <c r="A70" s="3">
        <v>44075</v>
      </c>
      <c r="B70" s="1">
        <v>29.51</v>
      </c>
      <c r="C70" s="4">
        <v>259.99700000000001</v>
      </c>
      <c r="D70" s="5">
        <f t="shared" si="5"/>
        <v>11.350130963049573</v>
      </c>
      <c r="E70" s="5">
        <f t="shared" si="3"/>
        <v>1.3910228912373812</v>
      </c>
      <c r="F70" s="5">
        <f t="shared" si="4"/>
        <v>3.3563239650142851</v>
      </c>
      <c r="G70" s="5">
        <f t="shared" si="6"/>
        <v>119.2805173807599</v>
      </c>
      <c r="H70" s="5">
        <f t="shared" si="7"/>
        <v>107.69641039543242</v>
      </c>
    </row>
    <row r="71" spans="1:8" x14ac:dyDescent="0.2">
      <c r="A71" s="3">
        <v>44105</v>
      </c>
      <c r="B71" s="1">
        <v>29.54</v>
      </c>
      <c r="C71" s="4">
        <v>260.31900000000002</v>
      </c>
      <c r="D71" s="5">
        <f t="shared" si="5"/>
        <v>11.347615809833318</v>
      </c>
      <c r="E71" s="5">
        <f t="shared" si="3"/>
        <v>1.2303863428671624</v>
      </c>
      <c r="F71" s="5">
        <f t="shared" si="4"/>
        <v>3.3320164156404708</v>
      </c>
      <c r="G71" s="5">
        <f t="shared" si="6"/>
        <v>119.40177849636217</v>
      </c>
      <c r="H71" s="5">
        <f t="shared" si="7"/>
        <v>107.67254521062823</v>
      </c>
    </row>
    <row r="72" spans="1:8" x14ac:dyDescent="0.2">
      <c r="A72" s="3">
        <v>44136</v>
      </c>
      <c r="B72" s="1">
        <v>29.64</v>
      </c>
      <c r="C72" s="4">
        <v>260.911</v>
      </c>
      <c r="D72" s="5">
        <f t="shared" si="5"/>
        <v>11.360195622261998</v>
      </c>
      <c r="E72" s="5">
        <f t="shared" si="3"/>
        <v>1.1757452138405844</v>
      </c>
      <c r="F72" s="5">
        <f t="shared" si="4"/>
        <v>3.3717673561503902</v>
      </c>
      <c r="G72" s="5">
        <f t="shared" si="6"/>
        <v>119.80598221503638</v>
      </c>
      <c r="H72" s="5">
        <f t="shared" si="7"/>
        <v>107.7919095286636</v>
      </c>
    </row>
    <row r="73" spans="1:8" x14ac:dyDescent="0.2">
      <c r="A73" s="3">
        <v>44166</v>
      </c>
      <c r="B73" s="1">
        <v>29.91</v>
      </c>
      <c r="C73" s="4">
        <v>262.04500000000002</v>
      </c>
      <c r="D73" s="5">
        <f t="shared" si="5"/>
        <v>11.414070102463317</v>
      </c>
      <c r="E73" s="5">
        <f t="shared" si="3"/>
        <v>1.3204191315779434</v>
      </c>
      <c r="F73" s="5">
        <f t="shared" si="4"/>
        <v>4.0176515362962517</v>
      </c>
      <c r="G73" s="5">
        <f t="shared" si="6"/>
        <v>120.89733225545676</v>
      </c>
      <c r="H73" s="5">
        <f t="shared" si="7"/>
        <v>108.30310082226985</v>
      </c>
    </row>
    <row r="74" spans="1:8" x14ac:dyDescent="0.2">
      <c r="A74" s="3">
        <v>44197</v>
      </c>
      <c r="B74" s="1">
        <v>29.93</v>
      </c>
      <c r="C74" s="4">
        <v>262.68700000000001</v>
      </c>
      <c r="D74" s="5">
        <f t="shared" si="5"/>
        <v>11.393788044326516</v>
      </c>
      <c r="E74" s="5">
        <f t="shared" si="3"/>
        <v>1.3738437137002402</v>
      </c>
      <c r="F74" s="5">
        <f t="shared" si="4"/>
        <v>3.849388482666094</v>
      </c>
      <c r="G74" s="5">
        <f t="shared" si="6"/>
        <v>120.9781729991916</v>
      </c>
      <c r="H74" s="5">
        <f t="shared" si="7"/>
        <v>108.11065327572827</v>
      </c>
    </row>
    <row r="75" spans="1:8" x14ac:dyDescent="0.2">
      <c r="A75" s="3">
        <v>44228</v>
      </c>
      <c r="B75" s="1">
        <v>30.05</v>
      </c>
      <c r="C75" s="4">
        <v>263.57900000000001</v>
      </c>
      <c r="D75" s="5">
        <f t="shared" si="5"/>
        <v>11.400756509433604</v>
      </c>
      <c r="E75" s="5">
        <f t="shared" si="3"/>
        <v>1.6698167791706853</v>
      </c>
      <c r="F75" s="5">
        <f t="shared" si="4"/>
        <v>3.5615320627421898</v>
      </c>
      <c r="G75" s="5">
        <f t="shared" si="6"/>
        <v>121.46321746160065</v>
      </c>
      <c r="H75" s="5">
        <f t="shared" si="7"/>
        <v>108.17677398221545</v>
      </c>
    </row>
    <row r="76" spans="1:8" x14ac:dyDescent="0.2">
      <c r="A76" s="3">
        <v>44256</v>
      </c>
      <c r="B76" s="1">
        <v>30.03</v>
      </c>
      <c r="C76" s="4">
        <v>264.96100000000001</v>
      </c>
      <c r="D76" s="5">
        <f t="shared" si="5"/>
        <v>11.333743456584177</v>
      </c>
      <c r="E76" s="5">
        <f t="shared" si="3"/>
        <v>2.6678187820641908</v>
      </c>
      <c r="F76" s="5">
        <f t="shared" si="4"/>
        <v>1.8088122624928094</v>
      </c>
      <c r="G76" s="5">
        <f t="shared" si="6"/>
        <v>121.38237671786582</v>
      </c>
      <c r="H76" s="5">
        <f t="shared" si="7"/>
        <v>107.54091654012798</v>
      </c>
    </row>
    <row r="77" spans="1:8" x14ac:dyDescent="0.2">
      <c r="A77" s="3">
        <v>44287</v>
      </c>
      <c r="B77" s="1">
        <v>30.22</v>
      </c>
      <c r="C77" s="4">
        <v>266.61399999999998</v>
      </c>
      <c r="D77" s="5">
        <f t="shared" si="5"/>
        <v>11.334738610875648</v>
      </c>
      <c r="E77" s="5">
        <f t="shared" si="3"/>
        <v>4.1330771153605728</v>
      </c>
      <c r="F77" s="5">
        <f t="shared" si="4"/>
        <v>-3.3936153122598567</v>
      </c>
      <c r="G77" s="5">
        <f t="shared" si="6"/>
        <v>122.1503637833468</v>
      </c>
      <c r="H77" s="5">
        <f t="shared" si="7"/>
        <v>107.55035912236161</v>
      </c>
    </row>
    <row r="78" spans="1:8" x14ac:dyDescent="0.2">
      <c r="A78" s="3">
        <v>44317</v>
      </c>
      <c r="B78" s="1">
        <v>30.41</v>
      </c>
      <c r="C78" s="4">
        <v>268.38299999999998</v>
      </c>
      <c r="D78" s="5">
        <f t="shared" si="5"/>
        <v>11.330821996922309</v>
      </c>
      <c r="E78" s="5">
        <f t="shared" si="3"/>
        <v>4.9182570894676259</v>
      </c>
      <c r="F78" s="5">
        <f t="shared" si="4"/>
        <v>-2.4748678177415662</v>
      </c>
      <c r="G78" s="5">
        <f t="shared" si="6"/>
        <v>122.9183508488278</v>
      </c>
      <c r="H78" s="5">
        <f t="shared" si="7"/>
        <v>107.51319609181576</v>
      </c>
    </row>
    <row r="79" spans="1:8" x14ac:dyDescent="0.2">
      <c r="A79" s="3">
        <v>44348</v>
      </c>
      <c r="B79" s="1">
        <v>30.54</v>
      </c>
      <c r="C79" s="4">
        <v>270.654</v>
      </c>
      <c r="D79" s="5">
        <f t="shared" si="5"/>
        <v>11.283779290163826</v>
      </c>
      <c r="E79" s="5">
        <f t="shared" ref="E79:E142" si="8">IF(OR(C79="",C67="",C67=0),"",(C79/C67-1)*100)</f>
        <v>5.2956326203499993</v>
      </c>
      <c r="F79" s="5">
        <f t="shared" ref="F79:F142" si="9">IF(OR(D79="",D67="",D67=0),"",(D79/D67-1)*100)</f>
        <v>-1.2796052994455409</v>
      </c>
      <c r="G79" s="5">
        <f t="shared" si="6"/>
        <v>123.44381568310429</v>
      </c>
      <c r="H79" s="5">
        <f t="shared" si="7"/>
        <v>107.0668284974975</v>
      </c>
    </row>
    <row r="80" spans="1:8" x14ac:dyDescent="0.2">
      <c r="A80" s="3">
        <v>44378</v>
      </c>
      <c r="B80" s="1">
        <v>30.66</v>
      </c>
      <c r="C80" s="4">
        <v>271.90300000000002</v>
      </c>
      <c r="D80" s="5">
        <f t="shared" si="5"/>
        <v>11.276080072672974</v>
      </c>
      <c r="E80" s="5">
        <f t="shared" si="8"/>
        <v>5.2451693813092337</v>
      </c>
      <c r="F80" s="5">
        <f t="shared" si="9"/>
        <v>-0.87792313932604227</v>
      </c>
      <c r="G80" s="5">
        <f t="shared" si="6"/>
        <v>123.92886014551334</v>
      </c>
      <c r="H80" s="5">
        <f t="shared" si="7"/>
        <v>106.99377400241563</v>
      </c>
    </row>
    <row r="81" spans="1:8" x14ac:dyDescent="0.2">
      <c r="A81" s="3">
        <v>44409</v>
      </c>
      <c r="B81" s="1">
        <v>30.78</v>
      </c>
      <c r="C81" s="4">
        <v>272.67599999999999</v>
      </c>
      <c r="D81" s="5">
        <f t="shared" si="5"/>
        <v>11.288122166967391</v>
      </c>
      <c r="E81" s="5">
        <f t="shared" si="8"/>
        <v>5.1520153017939663</v>
      </c>
      <c r="F81" s="5">
        <f t="shared" si="9"/>
        <v>-0.73954941168816735</v>
      </c>
      <c r="G81" s="5">
        <f t="shared" si="6"/>
        <v>124.4139046079224</v>
      </c>
      <c r="H81" s="5">
        <f t="shared" si="7"/>
        <v>107.10803614911457</v>
      </c>
    </row>
    <row r="82" spans="1:8" x14ac:dyDescent="0.2">
      <c r="A82" s="3">
        <v>44440</v>
      </c>
      <c r="B82" s="1">
        <v>30.98</v>
      </c>
      <c r="C82" s="4">
        <v>273.91000000000003</v>
      </c>
      <c r="D82" s="5">
        <f t="shared" si="5"/>
        <v>11.310284399985395</v>
      </c>
      <c r="E82" s="5">
        <f t="shared" si="8"/>
        <v>5.3512155909491321</v>
      </c>
      <c r="F82" s="5">
        <f t="shared" si="9"/>
        <v>-0.3510669893933227</v>
      </c>
      <c r="G82" s="5">
        <f t="shared" si="6"/>
        <v>125.22231204527084</v>
      </c>
      <c r="H82" s="5">
        <f t="shared" si="7"/>
        <v>107.31832384977251</v>
      </c>
    </row>
    <row r="83" spans="1:8" x14ac:dyDescent="0.2">
      <c r="A83" s="3">
        <v>44470</v>
      </c>
      <c r="B83" s="1">
        <v>31.14</v>
      </c>
      <c r="C83" s="4">
        <v>276.55</v>
      </c>
      <c r="D83" s="5">
        <f t="shared" si="5"/>
        <v>11.260169951184235</v>
      </c>
      <c r="E83" s="5">
        <f t="shared" si="8"/>
        <v>6.2350423902980623</v>
      </c>
      <c r="F83" s="5">
        <f t="shared" si="9"/>
        <v>-0.77060996877693633</v>
      </c>
      <c r="G83" s="5">
        <f t="shared" si="6"/>
        <v>125.86903799514957</v>
      </c>
      <c r="H83" s="5">
        <f t="shared" si="7"/>
        <v>106.84280984359927</v>
      </c>
    </row>
    <row r="84" spans="1:8" x14ac:dyDescent="0.2">
      <c r="A84" s="3">
        <v>44501</v>
      </c>
      <c r="B84" s="1">
        <v>31.23</v>
      </c>
      <c r="C84" s="4">
        <v>278.91899999999998</v>
      </c>
      <c r="D84" s="5">
        <f t="shared" si="5"/>
        <v>11.196799070697946</v>
      </c>
      <c r="E84" s="5">
        <f t="shared" si="8"/>
        <v>6.9019704037008633</v>
      </c>
      <c r="F84" s="5">
        <f t="shared" si="9"/>
        <v>-1.4383251573929945</v>
      </c>
      <c r="G84" s="5">
        <f t="shared" si="6"/>
        <v>126.23282134195635</v>
      </c>
      <c r="H84" s="5">
        <f t="shared" si="7"/>
        <v>106.24151137627852</v>
      </c>
    </row>
    <row r="85" spans="1:8" x14ac:dyDescent="0.2">
      <c r="A85" s="3">
        <v>44531</v>
      </c>
      <c r="B85" s="1">
        <v>31.39</v>
      </c>
      <c r="C85" s="4">
        <v>280.84500000000003</v>
      </c>
      <c r="D85" s="5">
        <f t="shared" si="5"/>
        <v>11.176983745482383</v>
      </c>
      <c r="E85" s="5">
        <f t="shared" si="8"/>
        <v>7.1743402850655391</v>
      </c>
      <c r="F85" s="5">
        <f t="shared" si="9"/>
        <v>-2.0771412375482634</v>
      </c>
      <c r="G85" s="5">
        <f t="shared" si="6"/>
        <v>126.87954729183511</v>
      </c>
      <c r="H85" s="5">
        <f t="shared" si="7"/>
        <v>106.05349245354702</v>
      </c>
    </row>
    <row r="86" spans="1:8" x14ac:dyDescent="0.2">
      <c r="A86" s="3">
        <v>44562</v>
      </c>
      <c r="B86" s="1">
        <v>31.6</v>
      </c>
      <c r="C86" s="4">
        <v>282.54300000000001</v>
      </c>
      <c r="D86" s="5">
        <f t="shared" si="5"/>
        <v>11.184138343544168</v>
      </c>
      <c r="E86" s="5">
        <f t="shared" si="8"/>
        <v>7.5588057269678322</v>
      </c>
      <c r="F86" s="5">
        <f t="shared" si="9"/>
        <v>-1.8400351135787751</v>
      </c>
      <c r="G86" s="5">
        <f t="shared" si="6"/>
        <v>127.72837510105094</v>
      </c>
      <c r="H86" s="5">
        <f t="shared" si="7"/>
        <v>106.12137929393546</v>
      </c>
    </row>
    <row r="87" spans="1:8" x14ac:dyDescent="0.2">
      <c r="A87" s="3">
        <v>44593</v>
      </c>
      <c r="B87" s="1">
        <v>31.64</v>
      </c>
      <c r="C87" s="4">
        <v>284.5</v>
      </c>
      <c r="D87" s="5">
        <f t="shared" si="5"/>
        <v>11.121265377855888</v>
      </c>
      <c r="E87" s="5">
        <f t="shared" si="8"/>
        <v>7.9372787665178191</v>
      </c>
      <c r="F87" s="5">
        <f t="shared" si="9"/>
        <v>-2.4515139091555005</v>
      </c>
      <c r="G87" s="5">
        <f t="shared" si="6"/>
        <v>127.89005658852062</v>
      </c>
      <c r="H87" s="5">
        <f t="shared" si="7"/>
        <v>105.52480532156574</v>
      </c>
    </row>
    <row r="88" spans="1:8" x14ac:dyDescent="0.2">
      <c r="A88" s="3">
        <v>44621</v>
      </c>
      <c r="B88" s="1">
        <v>31.8</v>
      </c>
      <c r="C88" s="4">
        <v>287.67399999999998</v>
      </c>
      <c r="D88" s="5">
        <f t="shared" si="5"/>
        <v>11.054179383607835</v>
      </c>
      <c r="E88" s="5">
        <f t="shared" si="8"/>
        <v>8.5722049660138531</v>
      </c>
      <c r="F88" s="5">
        <f t="shared" si="9"/>
        <v>-2.46665255877071</v>
      </c>
      <c r="G88" s="5">
        <f t="shared" si="6"/>
        <v>128.53678253839936</v>
      </c>
      <c r="H88" s="5">
        <f t="shared" si="7"/>
        <v>104.88825577056544</v>
      </c>
    </row>
    <row r="89" spans="1:8" x14ac:dyDescent="0.2">
      <c r="A89" s="3">
        <v>44652</v>
      </c>
      <c r="B89" s="1">
        <v>31.96</v>
      </c>
      <c r="C89" s="4">
        <v>288.56099999999998</v>
      </c>
      <c r="D89" s="5">
        <f t="shared" si="5"/>
        <v>11.075647783310982</v>
      </c>
      <c r="E89" s="5">
        <f t="shared" si="8"/>
        <v>8.2317507707772251</v>
      </c>
      <c r="F89" s="5">
        <f t="shared" si="9"/>
        <v>-2.2858121078863647</v>
      </c>
      <c r="G89" s="5">
        <f t="shared" si="6"/>
        <v>129.18350848827811</v>
      </c>
      <c r="H89" s="5">
        <f t="shared" si="7"/>
        <v>105.09195999146741</v>
      </c>
    </row>
    <row r="90" spans="1:8" x14ac:dyDescent="0.2">
      <c r="A90" s="3">
        <v>44682</v>
      </c>
      <c r="B90" s="1">
        <v>32.1</v>
      </c>
      <c r="C90" s="4">
        <v>291.298</v>
      </c>
      <c r="D90" s="5">
        <f t="shared" si="5"/>
        <v>11.019643114611155</v>
      </c>
      <c r="E90" s="5">
        <f t="shared" si="8"/>
        <v>8.5381711956420645</v>
      </c>
      <c r="F90" s="5">
        <f t="shared" si="9"/>
        <v>-2.7463045699215538</v>
      </c>
      <c r="G90" s="5">
        <f t="shared" si="6"/>
        <v>129.749393694422</v>
      </c>
      <c r="H90" s="5">
        <f t="shared" si="7"/>
        <v>104.56055627427749</v>
      </c>
    </row>
    <row r="91" spans="1:8" x14ac:dyDescent="0.2">
      <c r="A91" s="3">
        <v>44713</v>
      </c>
      <c r="B91" s="1">
        <v>32.19</v>
      </c>
      <c r="C91" s="4">
        <v>294.95699999999999</v>
      </c>
      <c r="D91" s="5">
        <f t="shared" si="5"/>
        <v>10.913455181602743</v>
      </c>
      <c r="E91" s="5">
        <f t="shared" si="8"/>
        <v>8.9793611031057985</v>
      </c>
      <c r="F91" s="5">
        <f t="shared" si="9"/>
        <v>-3.281915562491533</v>
      </c>
      <c r="G91" s="5">
        <f t="shared" si="6"/>
        <v>130.11317704122877</v>
      </c>
      <c r="H91" s="5">
        <f t="shared" si="7"/>
        <v>103.552985590772</v>
      </c>
    </row>
    <row r="92" spans="1:8" x14ac:dyDescent="0.2">
      <c r="A92" s="3">
        <v>44743</v>
      </c>
      <c r="B92" s="1">
        <v>32.340000000000003</v>
      </c>
      <c r="C92" s="4">
        <v>294.91300000000001</v>
      </c>
      <c r="D92" s="5">
        <f t="shared" si="5"/>
        <v>10.965945889126624</v>
      </c>
      <c r="E92" s="5">
        <f t="shared" si="8"/>
        <v>8.4625767277300987</v>
      </c>
      <c r="F92" s="5">
        <f t="shared" si="9"/>
        <v>-2.7503723062231922</v>
      </c>
      <c r="G92" s="5">
        <f t="shared" si="6"/>
        <v>130.71948261924013</v>
      </c>
      <c r="H92" s="5">
        <f t="shared" si="7"/>
        <v>104.05104687287017</v>
      </c>
    </row>
    <row r="93" spans="1:8" x14ac:dyDescent="0.2">
      <c r="A93" s="3">
        <v>44774</v>
      </c>
      <c r="B93" s="1">
        <v>32.44</v>
      </c>
      <c r="C93" s="4">
        <v>295.09699999999998</v>
      </c>
      <c r="D93" s="5">
        <f t="shared" si="5"/>
        <v>10.992995523505829</v>
      </c>
      <c r="E93" s="5">
        <f t="shared" si="8"/>
        <v>8.222579178218826</v>
      </c>
      <c r="F93" s="5">
        <f t="shared" si="9"/>
        <v>-2.6144883896206839</v>
      </c>
      <c r="G93" s="5">
        <f t="shared" si="6"/>
        <v>131.12368633791431</v>
      </c>
      <c r="H93" s="5">
        <f t="shared" si="7"/>
        <v>104.30770897964526</v>
      </c>
    </row>
    <row r="94" spans="1:8" x14ac:dyDescent="0.2">
      <c r="A94" s="3">
        <v>44805</v>
      </c>
      <c r="B94" s="1">
        <v>32.57</v>
      </c>
      <c r="C94" s="4">
        <v>296.34899999999999</v>
      </c>
      <c r="D94" s="5">
        <f t="shared" si="5"/>
        <v>10.990420079028443</v>
      </c>
      <c r="E94" s="5">
        <f t="shared" si="8"/>
        <v>8.1921068964258215</v>
      </c>
      <c r="F94" s="5">
        <f t="shared" si="9"/>
        <v>-2.8280838009463793</v>
      </c>
      <c r="G94" s="5">
        <f t="shared" si="6"/>
        <v>131.64915117219081</v>
      </c>
      <c r="H94" s="5">
        <f t="shared" si="7"/>
        <v>104.28327171752991</v>
      </c>
    </row>
    <row r="95" spans="1:8" x14ac:dyDescent="0.2">
      <c r="A95" s="3">
        <v>44835</v>
      </c>
      <c r="B95" s="1">
        <v>32.700000000000003</v>
      </c>
      <c r="C95" s="4">
        <v>298.00700000000001</v>
      </c>
      <c r="D95" s="5">
        <f t="shared" si="5"/>
        <v>10.97289660981118</v>
      </c>
      <c r="E95" s="5">
        <f t="shared" si="8"/>
        <v>7.7588139576930004</v>
      </c>
      <c r="F95" s="5">
        <f t="shared" si="9"/>
        <v>-2.5512345072806197</v>
      </c>
      <c r="G95" s="5">
        <f t="shared" si="6"/>
        <v>132.17461600646726</v>
      </c>
      <c r="H95" s="5">
        <f t="shared" si="7"/>
        <v>104.11699921032115</v>
      </c>
    </row>
    <row r="96" spans="1:8" x14ac:dyDescent="0.2">
      <c r="A96" s="3">
        <v>44866</v>
      </c>
      <c r="B96" s="1">
        <v>32.82</v>
      </c>
      <c r="C96" s="4">
        <v>298.786</v>
      </c>
      <c r="D96" s="5">
        <f t="shared" si="5"/>
        <v>10.984450409323061</v>
      </c>
      <c r="E96" s="5">
        <f t="shared" si="8"/>
        <v>7.122856456533988</v>
      </c>
      <c r="F96" s="5">
        <f t="shared" si="9"/>
        <v>-1.8965122088383413</v>
      </c>
      <c r="G96" s="5">
        <f t="shared" si="6"/>
        <v>132.65966046887633</v>
      </c>
      <c r="H96" s="5">
        <f t="shared" si="7"/>
        <v>104.22662814217306</v>
      </c>
    </row>
    <row r="97" spans="1:8" x14ac:dyDescent="0.2">
      <c r="A97" s="3">
        <v>44896</v>
      </c>
      <c r="B97" s="1">
        <v>32.94</v>
      </c>
      <c r="C97" s="4">
        <v>298.83199999999999</v>
      </c>
      <c r="D97" s="5">
        <f t="shared" si="5"/>
        <v>11.022915885848905</v>
      </c>
      <c r="E97" s="5">
        <f t="shared" si="8"/>
        <v>6.4046004023571523</v>
      </c>
      <c r="F97" s="5">
        <f t="shared" si="9"/>
        <v>-1.3784386122575487</v>
      </c>
      <c r="G97" s="5">
        <f t="shared" si="6"/>
        <v>133.14470493128536</v>
      </c>
      <c r="H97" s="5">
        <f t="shared" si="7"/>
        <v>104.5916101639197</v>
      </c>
    </row>
    <row r="98" spans="1:8" x14ac:dyDescent="0.2">
      <c r="A98" s="3">
        <v>44927</v>
      </c>
      <c r="B98" s="1">
        <v>33.020000000000003</v>
      </c>
      <c r="C98" s="4">
        <v>300.42</v>
      </c>
      <c r="D98" s="5">
        <f t="shared" si="5"/>
        <v>10.991278876239932</v>
      </c>
      <c r="E98" s="5">
        <f t="shared" si="8"/>
        <v>6.327178517960097</v>
      </c>
      <c r="F98" s="5">
        <f t="shared" si="9"/>
        <v>-1.7244016604601509</v>
      </c>
      <c r="G98" s="5">
        <f t="shared" si="6"/>
        <v>133.46806790622477</v>
      </c>
      <c r="H98" s="5">
        <f t="shared" si="7"/>
        <v>104.29142046728761</v>
      </c>
    </row>
    <row r="99" spans="1:8" x14ac:dyDescent="0.2">
      <c r="A99" s="3">
        <v>44958</v>
      </c>
      <c r="B99" s="1">
        <v>33.15</v>
      </c>
      <c r="C99" s="4">
        <v>301.45</v>
      </c>
      <c r="D99" s="5">
        <f t="shared" si="5"/>
        <v>10.996848565267872</v>
      </c>
      <c r="E99" s="5">
        <f t="shared" si="8"/>
        <v>5.9578207381370873</v>
      </c>
      <c r="F99" s="5">
        <f t="shared" si="9"/>
        <v>-1.1187289248195564</v>
      </c>
      <c r="G99" s="5">
        <f t="shared" si="6"/>
        <v>133.99353274050122</v>
      </c>
      <c r="H99" s="5">
        <f t="shared" si="7"/>
        <v>104.34426880157386</v>
      </c>
    </row>
    <row r="100" spans="1:8" x14ac:dyDescent="0.2">
      <c r="A100" s="3">
        <v>44986</v>
      </c>
      <c r="B100" s="1">
        <v>33.270000000000003</v>
      </c>
      <c r="C100" s="4">
        <v>301.82100000000003</v>
      </c>
      <c r="D100" s="5">
        <f t="shared" si="5"/>
        <v>11.023089844643016</v>
      </c>
      <c r="E100" s="5">
        <f t="shared" si="8"/>
        <v>4.9177193628899607</v>
      </c>
      <c r="F100" s="5">
        <f t="shared" si="9"/>
        <v>-0.2812469192504885</v>
      </c>
      <c r="G100" s="5">
        <f t="shared" si="6"/>
        <v>134.47857720291029</v>
      </c>
      <c r="H100" s="5">
        <f t="shared" si="7"/>
        <v>104.59326078255515</v>
      </c>
    </row>
    <row r="101" spans="1:8" x14ac:dyDescent="0.2">
      <c r="A101" s="3">
        <v>45017</v>
      </c>
      <c r="B101" s="1">
        <v>33.43</v>
      </c>
      <c r="C101" s="4">
        <v>302.84500000000003</v>
      </c>
      <c r="D101" s="5">
        <f t="shared" si="5"/>
        <v>11.03865013455728</v>
      </c>
      <c r="E101" s="5">
        <f t="shared" si="8"/>
        <v>4.9500798791243694</v>
      </c>
      <c r="F101" s="5">
        <f t="shared" si="9"/>
        <v>-0.33404501007563425</v>
      </c>
      <c r="G101" s="5">
        <f t="shared" si="6"/>
        <v>135.125303152789</v>
      </c>
      <c r="H101" s="5">
        <f t="shared" si="7"/>
        <v>104.74090554312522</v>
      </c>
    </row>
    <row r="102" spans="1:8" x14ac:dyDescent="0.2">
      <c r="A102" s="3">
        <v>45047</v>
      </c>
      <c r="B102" s="1">
        <v>33.5</v>
      </c>
      <c r="C102" s="4">
        <v>303.334</v>
      </c>
      <c r="D102" s="5">
        <f t="shared" si="5"/>
        <v>11.043931771578524</v>
      </c>
      <c r="E102" s="5">
        <f t="shared" si="8"/>
        <v>4.131851231385042</v>
      </c>
      <c r="F102" s="5">
        <f t="shared" si="9"/>
        <v>0.22041237374705869</v>
      </c>
      <c r="G102" s="5">
        <f t="shared" si="6"/>
        <v>135.40824575586097</v>
      </c>
      <c r="H102" s="5">
        <f t="shared" si="7"/>
        <v>104.79102067836476</v>
      </c>
    </row>
    <row r="103" spans="1:8" x14ac:dyDescent="0.2">
      <c r="A103" s="3">
        <v>45078</v>
      </c>
      <c r="B103" s="1">
        <v>33.69</v>
      </c>
      <c r="C103" s="4">
        <v>304.01400000000001</v>
      </c>
      <c r="D103" s="5">
        <f t="shared" si="5"/>
        <v>11.081726499437524</v>
      </c>
      <c r="E103" s="5">
        <f t="shared" si="8"/>
        <v>3.070617072997095</v>
      </c>
      <c r="F103" s="5">
        <f t="shared" si="9"/>
        <v>1.5418702421433172</v>
      </c>
      <c r="G103" s="5">
        <f t="shared" si="6"/>
        <v>136.17623282134196</v>
      </c>
      <c r="H103" s="5">
        <f t="shared" si="7"/>
        <v>105.14963826044708</v>
      </c>
    </row>
    <row r="104" spans="1:8" x14ac:dyDescent="0.2">
      <c r="A104" s="3">
        <v>45108</v>
      </c>
      <c r="B104" s="1">
        <v>33.85</v>
      </c>
      <c r="C104" s="4">
        <v>304.60899999999998</v>
      </c>
      <c r="D104" s="5">
        <f t="shared" si="5"/>
        <v>11.112606653119245</v>
      </c>
      <c r="E104" s="5">
        <f t="shared" si="8"/>
        <v>3.2877492684282972</v>
      </c>
      <c r="F104" s="5">
        <f t="shared" si="9"/>
        <v>1.3374200955892368</v>
      </c>
      <c r="G104" s="5">
        <f t="shared" si="6"/>
        <v>136.8229587712207</v>
      </c>
      <c r="H104" s="5">
        <f t="shared" si="7"/>
        <v>105.4426464834189</v>
      </c>
    </row>
    <row r="105" spans="1:8" x14ac:dyDescent="0.2">
      <c r="A105" s="3">
        <v>45139</v>
      </c>
      <c r="B105" s="1">
        <v>33.89</v>
      </c>
      <c r="C105" s="4">
        <v>306.08199999999999</v>
      </c>
      <c r="D105" s="5">
        <f t="shared" si="5"/>
        <v>11.072196339542998</v>
      </c>
      <c r="E105" s="5">
        <f t="shared" si="8"/>
        <v>3.7225048035052888</v>
      </c>
      <c r="F105" s="5">
        <f t="shared" si="9"/>
        <v>0.72046619020100788</v>
      </c>
      <c r="G105" s="5">
        <f t="shared" si="6"/>
        <v>136.9846402586904</v>
      </c>
      <c r="H105" s="5">
        <f t="shared" si="7"/>
        <v>105.05921075661684</v>
      </c>
    </row>
    <row r="106" spans="1:8" x14ac:dyDescent="0.2">
      <c r="A106" s="3">
        <v>45170</v>
      </c>
      <c r="B106" s="1">
        <v>34.01</v>
      </c>
      <c r="C106" s="4">
        <v>307.27600000000001</v>
      </c>
      <c r="D106" s="5">
        <f t="shared" si="5"/>
        <v>11.068225308842864</v>
      </c>
      <c r="E106" s="5">
        <f t="shared" si="8"/>
        <v>3.6872066381192559</v>
      </c>
      <c r="F106" s="5">
        <f t="shared" si="9"/>
        <v>0.70793681456167157</v>
      </c>
      <c r="G106" s="5">
        <f t="shared" si="6"/>
        <v>137.46968472109944</v>
      </c>
      <c r="H106" s="5">
        <f t="shared" si="7"/>
        <v>105.0215313894477</v>
      </c>
    </row>
    <row r="107" spans="1:8" x14ac:dyDescent="0.2">
      <c r="A107" s="3">
        <v>45200</v>
      </c>
      <c r="B107" s="1">
        <v>34.08</v>
      </c>
      <c r="C107" s="4">
        <v>307.69600000000003</v>
      </c>
      <c r="D107" s="5">
        <f t="shared" si="5"/>
        <v>11.075867089594924</v>
      </c>
      <c r="E107" s="5">
        <f t="shared" si="8"/>
        <v>3.2512659098611785</v>
      </c>
      <c r="F107" s="5">
        <f t="shared" si="9"/>
        <v>0.93840745470685771</v>
      </c>
      <c r="G107" s="5">
        <f t="shared" si="6"/>
        <v>137.75262732417139</v>
      </c>
      <c r="H107" s="5">
        <f t="shared" si="7"/>
        <v>105.0940408925279</v>
      </c>
    </row>
    <row r="108" spans="1:8" x14ac:dyDescent="0.2">
      <c r="A108" s="3">
        <v>45231</v>
      </c>
      <c r="B108" s="1">
        <v>34.17</v>
      </c>
      <c r="C108" s="4">
        <v>308.14800000000002</v>
      </c>
      <c r="D108" s="5">
        <f t="shared" si="5"/>
        <v>11.088827446551656</v>
      </c>
      <c r="E108" s="5">
        <f t="shared" si="8"/>
        <v>3.1333462745911866</v>
      </c>
      <c r="F108" s="5">
        <f t="shared" si="9"/>
        <v>0.95022539443578857</v>
      </c>
      <c r="G108" s="5">
        <f t="shared" si="6"/>
        <v>138.11641067097818</v>
      </c>
      <c r="H108" s="5">
        <f t="shared" si="7"/>
        <v>105.21701603054414</v>
      </c>
    </row>
    <row r="109" spans="1:8" x14ac:dyDescent="0.2">
      <c r="A109" s="3">
        <v>45261</v>
      </c>
      <c r="B109" s="1">
        <v>34.29</v>
      </c>
      <c r="C109" s="4">
        <v>308.74099999999999</v>
      </c>
      <c r="D109" s="5">
        <f t="shared" si="5"/>
        <v>11.10639662370725</v>
      </c>
      <c r="E109" s="5">
        <f t="shared" si="8"/>
        <v>3.3159099427102934</v>
      </c>
      <c r="F109" s="5">
        <f t="shared" si="9"/>
        <v>0.75733806483559984</v>
      </c>
      <c r="G109" s="5">
        <f t="shared" si="6"/>
        <v>138.60145513338725</v>
      </c>
      <c r="H109" s="5">
        <f t="shared" si="7"/>
        <v>105.38372224031551</v>
      </c>
    </row>
    <row r="110" spans="1:8" x14ac:dyDescent="0.2">
      <c r="A110" s="3">
        <v>45292</v>
      </c>
      <c r="B110" s="1">
        <v>34.47</v>
      </c>
      <c r="C110" s="4">
        <v>309.69799999999998</v>
      </c>
      <c r="D110" s="5">
        <f t="shared" si="5"/>
        <v>11.130197805604169</v>
      </c>
      <c r="E110" s="5">
        <f t="shared" si="8"/>
        <v>3.0883429864855705</v>
      </c>
      <c r="F110" s="5">
        <f t="shared" si="9"/>
        <v>1.2639014160994666</v>
      </c>
      <c r="G110" s="5">
        <f t="shared" si="6"/>
        <v>139.32902182700082</v>
      </c>
      <c r="H110" s="5">
        <f t="shared" si="7"/>
        <v>105.60956120744392</v>
      </c>
    </row>
    <row r="111" spans="1:8" x14ac:dyDescent="0.2">
      <c r="A111" s="3">
        <v>45323</v>
      </c>
      <c r="B111" s="1">
        <v>34.520000000000003</v>
      </c>
      <c r="C111" s="4">
        <v>310.96699999999998</v>
      </c>
      <c r="D111" s="5">
        <f t="shared" si="5"/>
        <v>11.100856360964348</v>
      </c>
      <c r="E111" s="5">
        <f t="shared" si="8"/>
        <v>3.1570741416486969</v>
      </c>
      <c r="F111" s="5">
        <f t="shared" si="9"/>
        <v>0.94579638047369574</v>
      </c>
      <c r="G111" s="5">
        <f t="shared" si="6"/>
        <v>139.53112368633793</v>
      </c>
      <c r="H111" s="5">
        <f t="shared" si="7"/>
        <v>105.33115311913089</v>
      </c>
    </row>
    <row r="112" spans="1:8" x14ac:dyDescent="0.2">
      <c r="A112" s="3">
        <v>45352</v>
      </c>
      <c r="B112" s="1">
        <v>34.65</v>
      </c>
      <c r="C112" s="4">
        <v>312.34500000000003</v>
      </c>
      <c r="D112" s="5">
        <f t="shared" si="5"/>
        <v>11.09350237717908</v>
      </c>
      <c r="E112" s="5">
        <f t="shared" si="8"/>
        <v>3.4868349120836584</v>
      </c>
      <c r="F112" s="5">
        <f t="shared" si="9"/>
        <v>0.6387730983639095</v>
      </c>
      <c r="G112" s="5">
        <f t="shared" si="6"/>
        <v>140.05658852061441</v>
      </c>
      <c r="H112" s="5">
        <f t="shared" si="7"/>
        <v>105.26137439513572</v>
      </c>
    </row>
    <row r="113" spans="1:8" x14ac:dyDescent="0.2">
      <c r="A113" s="3">
        <v>45383</v>
      </c>
      <c r="B113" s="1">
        <v>34.76</v>
      </c>
      <c r="C113" s="4">
        <v>313.02300000000002</v>
      </c>
      <c r="D113" s="5">
        <f t="shared" si="5"/>
        <v>11.104615315807463</v>
      </c>
      <c r="E113" s="5">
        <f t="shared" si="8"/>
        <v>3.3607951262196734</v>
      </c>
      <c r="F113" s="5">
        <f t="shared" si="9"/>
        <v>0.59758376654837075</v>
      </c>
      <c r="G113" s="5">
        <f t="shared" si="6"/>
        <v>140.50121261115603</v>
      </c>
      <c r="H113" s="5">
        <f t="shared" si="7"/>
        <v>105.3668201915867</v>
      </c>
    </row>
    <row r="114" spans="1:8" x14ac:dyDescent="0.2">
      <c r="A114" s="3">
        <v>45413</v>
      </c>
      <c r="B114" s="1">
        <v>34.89</v>
      </c>
      <c r="C114" s="4">
        <v>313.17500000000001</v>
      </c>
      <c r="D114" s="5">
        <f t="shared" si="5"/>
        <v>11.140736010217928</v>
      </c>
      <c r="E114" s="5">
        <f t="shared" si="8"/>
        <v>3.244278584003113</v>
      </c>
      <c r="F114" s="5">
        <f t="shared" si="9"/>
        <v>0.87653781861030122</v>
      </c>
      <c r="G114" s="5">
        <f t="shared" si="6"/>
        <v>141.02667744543251</v>
      </c>
      <c r="H114" s="5">
        <f t="shared" si="7"/>
        <v>105.70955360511836</v>
      </c>
    </row>
    <row r="115" spans="1:8" x14ac:dyDescent="0.2">
      <c r="A115" s="3">
        <v>45444</v>
      </c>
      <c r="B115" s="1">
        <v>35.01</v>
      </c>
      <c r="C115" s="4">
        <v>313.04399999999998</v>
      </c>
      <c r="D115" s="5">
        <f t="shared" si="5"/>
        <v>11.183731360447732</v>
      </c>
      <c r="E115" s="5">
        <f t="shared" si="8"/>
        <v>2.9702579486470926</v>
      </c>
      <c r="F115" s="5">
        <f t="shared" si="9"/>
        <v>0.92047805922106374</v>
      </c>
      <c r="G115" s="5">
        <f t="shared" si="6"/>
        <v>141.51172190784155</v>
      </c>
      <c r="H115" s="5">
        <f t="shared" si="7"/>
        <v>106.1175176099848</v>
      </c>
    </row>
    <row r="116" spans="1:8" x14ac:dyDescent="0.2">
      <c r="A116" s="3">
        <v>45474</v>
      </c>
      <c r="B116" s="1">
        <v>35.08</v>
      </c>
      <c r="C116" s="4">
        <v>313.56900000000002</v>
      </c>
      <c r="D116" s="5">
        <f t="shared" si="5"/>
        <v>11.18733038023529</v>
      </c>
      <c r="E116" s="5">
        <f t="shared" si="8"/>
        <v>2.9414757935583014</v>
      </c>
      <c r="F116" s="5">
        <f t="shared" si="9"/>
        <v>0.67242303672352399</v>
      </c>
      <c r="G116" s="5">
        <f t="shared" si="6"/>
        <v>141.79466451091349</v>
      </c>
      <c r="H116" s="5">
        <f t="shared" si="7"/>
        <v>106.15166712890436</v>
      </c>
    </row>
    <row r="117" spans="1:8" x14ac:dyDescent="0.2">
      <c r="A117" s="3">
        <v>45505</v>
      </c>
      <c r="B117" s="1">
        <v>35.22</v>
      </c>
      <c r="C117" s="4">
        <v>314.06200000000001</v>
      </c>
      <c r="D117" s="5">
        <f t="shared" si="5"/>
        <v>11.214346211894465</v>
      </c>
      <c r="E117" s="5">
        <f t="shared" si="8"/>
        <v>2.6071444906920371</v>
      </c>
      <c r="F117" s="5">
        <f t="shared" si="9"/>
        <v>1.2838453003565009</v>
      </c>
      <c r="G117" s="5">
        <f t="shared" si="6"/>
        <v>142.36054971705741</v>
      </c>
      <c r="H117" s="5">
        <f t="shared" si="7"/>
        <v>106.40800849650729</v>
      </c>
    </row>
    <row r="118" spans="1:8" x14ac:dyDescent="0.2">
      <c r="A118" s="3">
        <v>45536</v>
      </c>
      <c r="B118" s="1">
        <v>35.340000000000003</v>
      </c>
      <c r="C118" s="4">
        <v>314.73200000000003</v>
      </c>
      <c r="D118" s="5">
        <f t="shared" si="5"/>
        <v>11.228600841350737</v>
      </c>
      <c r="E118" s="5">
        <f t="shared" si="8"/>
        <v>2.4264830315416708</v>
      </c>
      <c r="F118" s="5">
        <f t="shared" si="9"/>
        <v>1.4489724236074419</v>
      </c>
      <c r="G118" s="5">
        <f t="shared" si="6"/>
        <v>142.84559417946647</v>
      </c>
      <c r="H118" s="5">
        <f t="shared" si="7"/>
        <v>106.54326441813105</v>
      </c>
    </row>
    <row r="119" spans="1:8" x14ac:dyDescent="0.2">
      <c r="A119" s="3">
        <v>45566</v>
      </c>
      <c r="B119" s="1">
        <v>35.46</v>
      </c>
      <c r="C119" s="4">
        <v>315.63099999999997</v>
      </c>
      <c r="D119" s="5">
        <f t="shared" si="5"/>
        <v>11.234637915794076</v>
      </c>
      <c r="E119" s="5">
        <f t="shared" si="8"/>
        <v>2.5788440538713431</v>
      </c>
      <c r="F119" s="5">
        <f t="shared" si="9"/>
        <v>1.4334843937257702</v>
      </c>
      <c r="G119" s="5">
        <f t="shared" si="6"/>
        <v>143.33063864187551</v>
      </c>
      <c r="H119" s="5">
        <f t="shared" si="7"/>
        <v>106.60054756745807</v>
      </c>
    </row>
    <row r="120" spans="1:8" x14ac:dyDescent="0.2">
      <c r="A120" s="3">
        <v>45597</v>
      </c>
      <c r="B120" s="1">
        <v>35.6</v>
      </c>
      <c r="C120" s="4">
        <v>316.52800000000002</v>
      </c>
      <c r="D120" s="5">
        <f t="shared" si="5"/>
        <v>11.247030278521963</v>
      </c>
      <c r="E120" s="5">
        <f t="shared" si="8"/>
        <v>2.7194724612848331</v>
      </c>
      <c r="F120" s="5">
        <f t="shared" si="9"/>
        <v>1.4266867505410064</v>
      </c>
      <c r="G120" s="5">
        <f t="shared" si="6"/>
        <v>143.8965238480194</v>
      </c>
      <c r="H120" s="5">
        <f t="shared" si="7"/>
        <v>106.71813325756652</v>
      </c>
    </row>
    <row r="121" spans="1:8" x14ac:dyDescent="0.2">
      <c r="A121" s="3">
        <v>45627</v>
      </c>
      <c r="B121" s="1">
        <v>35.69</v>
      </c>
      <c r="C121" s="4">
        <v>317.60399999999998</v>
      </c>
      <c r="D121" s="5">
        <f t="shared" si="5"/>
        <v>11.237264014307124</v>
      </c>
      <c r="E121" s="5">
        <f t="shared" si="8"/>
        <v>2.8706909675099812</v>
      </c>
      <c r="F121" s="5">
        <f t="shared" si="9"/>
        <v>1.1783064753921213</v>
      </c>
      <c r="G121" s="5">
        <f t="shared" si="6"/>
        <v>144.2603071948262</v>
      </c>
      <c r="H121" s="5">
        <f t="shared" si="7"/>
        <v>106.62546546348241</v>
      </c>
    </row>
    <row r="122" spans="1:8" x14ac:dyDescent="0.2">
      <c r="A122" s="3">
        <v>45658</v>
      </c>
      <c r="B122" s="1">
        <v>35.840000000000003</v>
      </c>
      <c r="C122" s="4">
        <v>318.96100000000001</v>
      </c>
      <c r="D122" s="5">
        <f t="shared" si="5"/>
        <v>11.236483457225178</v>
      </c>
      <c r="E122" s="5">
        <f t="shared" si="8"/>
        <v>2.9909783078999608</v>
      </c>
      <c r="F122" s="5">
        <f t="shared" si="9"/>
        <v>0.95493048261454661</v>
      </c>
      <c r="G122" s="5">
        <f t="shared" si="6"/>
        <v>144.86661277283756</v>
      </c>
      <c r="H122" s="5">
        <f t="shared" si="7"/>
        <v>106.61805909996924</v>
      </c>
    </row>
    <row r="123" spans="1:8" x14ac:dyDescent="0.2">
      <c r="A123" s="3">
        <v>45689</v>
      </c>
      <c r="B123" s="1">
        <v>35.94</v>
      </c>
      <c r="C123" s="4">
        <v>319.67899999999997</v>
      </c>
      <c r="D123" s="5">
        <f t="shared" si="5"/>
        <v>11.242527660559499</v>
      </c>
      <c r="E123" s="5">
        <f t="shared" si="8"/>
        <v>2.8015834477613355</v>
      </c>
      <c r="F123" s="5">
        <f t="shared" si="9"/>
        <v>1.2762195544961052</v>
      </c>
      <c r="G123" s="5">
        <f t="shared" si="6"/>
        <v>145.27081649151171</v>
      </c>
      <c r="H123" s="5">
        <f t="shared" si="7"/>
        <v>106.67540989221347</v>
      </c>
    </row>
    <row r="124" spans="1:8" x14ac:dyDescent="0.2">
      <c r="A124" s="3">
        <v>45717</v>
      </c>
      <c r="B124" s="1">
        <v>36.11</v>
      </c>
      <c r="C124" s="4">
        <v>319.78500000000003</v>
      </c>
      <c r="D124" s="5">
        <f t="shared" si="5"/>
        <v>11.291961786825521</v>
      </c>
      <c r="E124" s="5">
        <f t="shared" si="8"/>
        <v>2.3819814628055491</v>
      </c>
      <c r="F124" s="5">
        <f t="shared" si="9"/>
        <v>1.7889698212414817</v>
      </c>
      <c r="G124" s="5">
        <f t="shared" si="6"/>
        <v>145.95796281325789</v>
      </c>
      <c r="H124" s="5">
        <f t="shared" si="7"/>
        <v>107.14446861648872</v>
      </c>
    </row>
    <row r="125" spans="1:8" x14ac:dyDescent="0.2">
      <c r="A125" s="3">
        <v>45748</v>
      </c>
      <c r="B125" s="1">
        <v>36.119999999999997</v>
      </c>
      <c r="C125" s="4">
        <v>320.30200000000002</v>
      </c>
      <c r="D125" s="5">
        <f t="shared" si="5"/>
        <v>11.27685746576668</v>
      </c>
      <c r="E125" s="5">
        <f t="shared" si="8"/>
        <v>2.3253882302578299</v>
      </c>
      <c r="F125" s="5">
        <f t="shared" si="9"/>
        <v>1.5510861480634075</v>
      </c>
      <c r="G125" s="5">
        <f t="shared" si="6"/>
        <v>145.99838318512531</v>
      </c>
      <c r="H125" s="5">
        <f t="shared" si="7"/>
        <v>107.00115034423328</v>
      </c>
    </row>
    <row r="126" spans="1:8" x14ac:dyDescent="0.2">
      <c r="A126" s="3">
        <v>45778</v>
      </c>
      <c r="B126" s="1">
        <v>36.28</v>
      </c>
      <c r="C126" s="4">
        <v>320.62</v>
      </c>
      <c r="D126" s="5">
        <f t="shared" si="5"/>
        <v>11.315576071361736</v>
      </c>
      <c r="E126" s="5">
        <f t="shared" si="8"/>
        <v>2.3772651073680873</v>
      </c>
      <c r="F126" s="5">
        <f t="shared" si="9"/>
        <v>1.5693762152110047</v>
      </c>
      <c r="G126" s="5">
        <f t="shared" si="6"/>
        <v>146.64510913500405</v>
      </c>
      <c r="H126" s="5">
        <f t="shared" si="7"/>
        <v>107.36853419660281</v>
      </c>
    </row>
    <row r="127" spans="1:8" x14ac:dyDescent="0.2">
      <c r="A127" s="3">
        <v>45809</v>
      </c>
      <c r="B127" s="1">
        <v>36.36</v>
      </c>
      <c r="C127" s="4">
        <v>321.435</v>
      </c>
      <c r="D127" s="5">
        <f t="shared" si="5"/>
        <v>11.311773764524709</v>
      </c>
      <c r="E127" s="5">
        <f t="shared" si="8"/>
        <v>2.6804538659102262</v>
      </c>
      <c r="F127" s="5">
        <f t="shared" si="9"/>
        <v>1.1448987815445122</v>
      </c>
      <c r="G127" s="5">
        <f t="shared" si="6"/>
        <v>146.96847210994341</v>
      </c>
      <c r="H127" s="5">
        <f t="shared" si="7"/>
        <v>107.3324557761068</v>
      </c>
    </row>
    <row r="128" spans="1:8" x14ac:dyDescent="0.2">
      <c r="A128" s="3">
        <v>45839</v>
      </c>
      <c r="B128" s="1">
        <v>36.47</v>
      </c>
      <c r="C128" s="4">
        <v>322.16899999999998</v>
      </c>
      <c r="D128" s="5">
        <f t="shared" si="5"/>
        <v>11.320145637848459</v>
      </c>
      <c r="E128" s="5">
        <f t="shared" si="8"/>
        <v>2.7426180521671339</v>
      </c>
      <c r="F128" s="5">
        <f t="shared" si="9"/>
        <v>1.1871934867304423</v>
      </c>
      <c r="G128" s="5">
        <f t="shared" si="6"/>
        <v>147.41309620048503</v>
      </c>
      <c r="H128" s="5">
        <f t="shared" si="7"/>
        <v>107.4118928071145</v>
      </c>
    </row>
    <row r="129" spans="1:8" x14ac:dyDescent="0.2">
      <c r="A129" s="3">
        <v>45870</v>
      </c>
      <c r="B129" s="1">
        <v>36.619999999999997</v>
      </c>
      <c r="C129" s="4">
        <v>323.291</v>
      </c>
      <c r="D129" s="5">
        <f t="shared" si="5"/>
        <v>11.327256249014045</v>
      </c>
      <c r="E129" s="5">
        <f t="shared" si="8"/>
        <v>2.9385917430316155</v>
      </c>
      <c r="F129" s="5">
        <f t="shared" si="9"/>
        <v>1.0068356637663145</v>
      </c>
      <c r="G129" s="5">
        <f t="shared" si="6"/>
        <v>148.01940177849636</v>
      </c>
      <c r="H129" s="5">
        <f t="shared" si="7"/>
        <v>107.47936227515362</v>
      </c>
    </row>
    <row r="130" spans="1:8" x14ac:dyDescent="0.2">
      <c r="A130" s="3">
        <v>45901</v>
      </c>
      <c r="B130" s="1">
        <v>36.700000000000003</v>
      </c>
      <c r="C130" s="4">
        <v>324.245</v>
      </c>
      <c r="D130" s="5">
        <f t="shared" si="5"/>
        <v>11.318601674659595</v>
      </c>
      <c r="E130" s="5">
        <f t="shared" si="8"/>
        <v>3.0225715847133294</v>
      </c>
      <c r="F130" s="5">
        <f t="shared" si="9"/>
        <v>0.80153203930286576</v>
      </c>
      <c r="G130" s="5">
        <f t="shared" si="6"/>
        <v>148.34276475343574</v>
      </c>
      <c r="H130" s="5">
        <f t="shared" si="7"/>
        <v>107.39724281816154</v>
      </c>
    </row>
    <row r="131" spans="1:8" x14ac:dyDescent="0.2">
      <c r="A131" s="3">
        <v>45931</v>
      </c>
      <c r="B131" s="1">
        <v>36.85</v>
      </c>
      <c r="C131" s="4"/>
      <c r="D131" s="5" t="str">
        <f>IF(OR(C131="",C131=0),"",B131/C131*100)</f>
        <v/>
      </c>
      <c r="E131" s="5" t="str">
        <f t="shared" si="8"/>
        <v/>
      </c>
      <c r="F131" s="5" t="str">
        <f t="shared" si="9"/>
        <v/>
      </c>
      <c r="G131" s="5">
        <f t="shared" ref="G131:G142" si="10">B131/$B$2*100</f>
        <v>148.94907033144707</v>
      </c>
      <c r="H131" s="5" t="str">
        <f t="shared" ref="H131:H142" si="11">IF(D131="","",D131/$D$2*100)</f>
        <v/>
      </c>
    </row>
    <row r="132" spans="1:8" x14ac:dyDescent="0.2">
      <c r="A132" s="3">
        <v>45962</v>
      </c>
      <c r="B132" s="1">
        <v>37</v>
      </c>
      <c r="C132" s="4">
        <v>325.06299999999999</v>
      </c>
      <c r="D132" s="5">
        <f t="shared" ref="D131:D142" si="12">B132/C132*100</f>
        <v>11.382408948419229</v>
      </c>
      <c r="E132" s="5">
        <f t="shared" si="8"/>
        <v>2.6964439164939513</v>
      </c>
      <c r="F132" s="5">
        <f t="shared" si="9"/>
        <v>1.2036836973382536</v>
      </c>
      <c r="G132" s="5">
        <f t="shared" si="10"/>
        <v>149.55537590945838</v>
      </c>
      <c r="H132" s="5">
        <f t="shared" si="11"/>
        <v>108.00268202969157</v>
      </c>
    </row>
    <row r="133" spans="1:8" x14ac:dyDescent="0.2">
      <c r="A133" s="3">
        <v>45992</v>
      </c>
      <c r="B133" s="1">
        <v>37.020000000000003</v>
      </c>
      <c r="C133" s="4">
        <v>326.03100000000001</v>
      </c>
      <c r="D133" s="5">
        <f t="shared" si="12"/>
        <v>11.354748474838283</v>
      </c>
      <c r="E133" s="5">
        <f t="shared" si="8"/>
        <v>2.6533041145577529</v>
      </c>
      <c r="F133" s="5">
        <f t="shared" si="9"/>
        <v>1.0454899020044373</v>
      </c>
      <c r="G133" s="5">
        <f t="shared" si="10"/>
        <v>149.63621665319323</v>
      </c>
      <c r="H133" s="5">
        <f t="shared" si="11"/>
        <v>107.74022393786835</v>
      </c>
    </row>
    <row r="134" spans="1:8" x14ac:dyDescent="0.2">
      <c r="A134" s="3">
        <v>46023</v>
      </c>
      <c r="B134" s="1">
        <v>37.15</v>
      </c>
      <c r="C134" s="4">
        <v>326.58800000000002</v>
      </c>
      <c r="D134" s="5">
        <f t="shared" si="12"/>
        <v>11.375188310654401</v>
      </c>
      <c r="E134" s="5">
        <f t="shared" si="8"/>
        <v>2.3912014321500141</v>
      </c>
      <c r="F134" s="5">
        <f t="shared" si="9"/>
        <v>1.2344151438236084</v>
      </c>
      <c r="G134" s="5">
        <f t="shared" si="10"/>
        <v>150.16168148746968</v>
      </c>
      <c r="H134" s="5">
        <f t="shared" si="11"/>
        <v>107.93416856755009</v>
      </c>
    </row>
    <row r="135" spans="1:8" x14ac:dyDescent="0.2">
      <c r="A135" s="3">
        <v>46054</v>
      </c>
      <c r="B135" s="1">
        <v>37.270000000000003</v>
      </c>
      <c r="C135" s="4">
        <v>327.45999999999998</v>
      </c>
      <c r="D135" s="5">
        <f t="shared" si="12"/>
        <v>11.381542783851465</v>
      </c>
      <c r="E135" s="5">
        <f t="shared" si="8"/>
        <v>2.4340041103732224</v>
      </c>
      <c r="F135" s="5">
        <f t="shared" si="9"/>
        <v>1.2365112854438642</v>
      </c>
      <c r="G135" s="5">
        <f t="shared" si="10"/>
        <v>150.64672594987877</v>
      </c>
      <c r="H135" s="5">
        <f t="shared" si="11"/>
        <v>107.99446337432418</v>
      </c>
    </row>
    <row r="136" spans="1:8" x14ac:dyDescent="0.2">
      <c r="A136" s="3">
        <v>46082</v>
      </c>
      <c r="B136" s="1">
        <v>37.35</v>
      </c>
      <c r="C136" s="4">
        <v>330.29300000000001</v>
      </c>
      <c r="D136" s="5">
        <f t="shared" si="12"/>
        <v>11.308141559161108</v>
      </c>
      <c r="E136" s="5">
        <f t="shared" si="8"/>
        <v>3.2859577528651984</v>
      </c>
      <c r="F136" s="5">
        <f t="shared" si="9"/>
        <v>0.14328575176780767</v>
      </c>
      <c r="G136" s="5">
        <f t="shared" si="10"/>
        <v>150.9700889248181</v>
      </c>
      <c r="H136" s="5">
        <f t="shared" si="11"/>
        <v>107.29799137382348</v>
      </c>
    </row>
    <row r="137" spans="1:8" x14ac:dyDescent="0.2">
      <c r="A137" s="3">
        <v>46113</v>
      </c>
      <c r="B137" s="1">
        <v>37.409999999999997</v>
      </c>
      <c r="C137" s="4">
        <v>332.40699999999998</v>
      </c>
      <c r="D137" s="5">
        <f t="shared" si="12"/>
        <v>11.254275631981276</v>
      </c>
      <c r="E137" s="5">
        <f t="shared" si="8"/>
        <v>3.7792458367415627</v>
      </c>
      <c r="F137" s="5">
        <f t="shared" si="9"/>
        <v>-0.20024935008672307</v>
      </c>
      <c r="G137" s="5">
        <f t="shared" si="10"/>
        <v>151.21261115602263</v>
      </c>
      <c r="H137" s="5">
        <f t="shared" si="11"/>
        <v>106.78688123608362</v>
      </c>
    </row>
    <row r="138" spans="1:8" x14ac:dyDescent="0.2">
      <c r="A138" s="3">
        <v>46143</v>
      </c>
      <c r="B138" s="1">
        <v>37.49</v>
      </c>
      <c r="C138" s="4">
        <v>333.97899999999998</v>
      </c>
      <c r="D138" s="5">
        <f t="shared" si="12"/>
        <v>11.225256677815073</v>
      </c>
      <c r="E138" s="5">
        <f t="shared" si="8"/>
        <v>4.166614684049641</v>
      </c>
      <c r="F138" s="5">
        <f t="shared" si="9"/>
        <v>-0.79818643767726183</v>
      </c>
      <c r="G138" s="5">
        <f t="shared" si="10"/>
        <v>151.53597413096202</v>
      </c>
      <c r="H138" s="5">
        <f t="shared" si="11"/>
        <v>106.51153311831267</v>
      </c>
    </row>
    <row r="139" spans="1:8" x14ac:dyDescent="0.2">
      <c r="A139" s="3">
        <v>46174</v>
      </c>
      <c r="B139" s="1">
        <v>37.590000000000003</v>
      </c>
      <c r="C139" s="4">
        <v>332.56799999999998</v>
      </c>
      <c r="D139" s="5">
        <f t="shared" si="12"/>
        <v>11.302951576820382</v>
      </c>
      <c r="E139" s="5">
        <f t="shared" si="8"/>
        <v>3.4635307293854112</v>
      </c>
      <c r="F139" s="5">
        <f t="shared" si="9"/>
        <v>-7.7991196500015736E-2</v>
      </c>
      <c r="G139" s="5">
        <f t="shared" si="10"/>
        <v>151.94017784963626</v>
      </c>
      <c r="H139" s="5">
        <f t="shared" si="11"/>
        <v>107.24874590961417</v>
      </c>
    </row>
    <row r="140" spans="1:8" x14ac:dyDescent="0.2">
      <c r="A140" s="3">
        <v>46204</v>
      </c>
      <c r="B140" s="1">
        <v>37.64</v>
      </c>
      <c r="C140" s="4">
        <v>332.81299999999999</v>
      </c>
      <c r="D140" s="5">
        <f t="shared" si="12"/>
        <v>11.309654370472307</v>
      </c>
      <c r="E140" s="5">
        <f t="shared" si="8"/>
        <v>3.3038560507063108</v>
      </c>
      <c r="F140" s="5">
        <f t="shared" si="9"/>
        <v>-9.267784807532875E-2</v>
      </c>
      <c r="G140" s="5">
        <f t="shared" si="10"/>
        <v>152.14227970897335</v>
      </c>
      <c r="H140" s="5">
        <f t="shared" si="11"/>
        <v>107.31234577628388</v>
      </c>
    </row>
    <row r="141" spans="1:8" x14ac:dyDescent="0.2">
      <c r="A141" s="3">
        <v>46235</v>
      </c>
      <c r="B141" s="1">
        <v>37.76</v>
      </c>
      <c r="C141" s="4">
        <v>334.13099999999997</v>
      </c>
      <c r="D141" s="5">
        <f t="shared" si="12"/>
        <v>11.300956810352826</v>
      </c>
      <c r="E141" s="5">
        <f t="shared" si="8"/>
        <v>3.353016322755642</v>
      </c>
      <c r="F141" s="5">
        <f t="shared" si="9"/>
        <v>-0.23217836767406297</v>
      </c>
      <c r="G141" s="5">
        <f t="shared" si="10"/>
        <v>152.62732417138238</v>
      </c>
      <c r="H141" s="5">
        <f t="shared" si="11"/>
        <v>107.22981844623666</v>
      </c>
    </row>
    <row r="142" spans="1:8" x14ac:dyDescent="0.2">
      <c r="A142" s="3">
        <v>46266</v>
      </c>
      <c r="B142" s="1">
        <v>37.81</v>
      </c>
      <c r="C142" s="4">
        <v>336.298</v>
      </c>
      <c r="D142" s="5">
        <f t="shared" si="12"/>
        <v>11.243004716055403</v>
      </c>
      <c r="E142" s="5">
        <f t="shared" si="8"/>
        <v>3.7172508442689933</v>
      </c>
      <c r="F142" s="5">
        <f t="shared" si="9"/>
        <v>-0.66790015919935275</v>
      </c>
      <c r="G142" s="5">
        <f t="shared" si="10"/>
        <v>152.8294260307195</v>
      </c>
      <c r="H142" s="5">
        <f t="shared" si="11"/>
        <v>106.6799364624033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407364-8B2C-0F43-A864-0D9C1131257A}">
  <dimension ref="A1:C142"/>
  <sheetViews>
    <sheetView tabSelected="1" workbookViewId="0">
      <selection activeCell="G25" sqref="G25"/>
    </sheetView>
  </sheetViews>
  <sheetFormatPr baseColWidth="10" defaultRowHeight="16" x14ac:dyDescent="0.2"/>
  <cols>
    <col min="1" max="1" width="13" customWidth="1"/>
    <col min="2" max="2" width="27.5" style="5" customWidth="1"/>
    <col min="3" max="3" width="20.83203125" style="5" customWidth="1"/>
  </cols>
  <sheetData>
    <row r="1" spans="1:3" x14ac:dyDescent="0.2">
      <c r="A1" s="1" t="s">
        <v>0</v>
      </c>
      <c r="B1" s="6" t="s">
        <v>6</v>
      </c>
      <c r="C1" s="5" t="s">
        <v>7</v>
      </c>
    </row>
    <row r="2" spans="1:3" x14ac:dyDescent="0.2">
      <c r="A2" s="3">
        <v>42005</v>
      </c>
      <c r="B2" s="5">
        <v>100</v>
      </c>
      <c r="C2" s="5">
        <v>100</v>
      </c>
    </row>
    <row r="3" spans="1:3" x14ac:dyDescent="0.2">
      <c r="A3" s="3">
        <v>42036</v>
      </c>
      <c r="B3" s="5">
        <v>100.20210185933711</v>
      </c>
      <c r="C3" s="5">
        <v>99.948767347833396</v>
      </c>
    </row>
    <row r="4" spans="1:3" x14ac:dyDescent="0.2">
      <c r="A4" s="3">
        <v>42064</v>
      </c>
      <c r="B4" s="5">
        <v>100.44462409054165</v>
      </c>
      <c r="C4" s="5">
        <v>99.921492742407622</v>
      </c>
    </row>
    <row r="5" spans="1:3" x14ac:dyDescent="0.2">
      <c r="A5" s="3">
        <v>42095</v>
      </c>
      <c r="B5" s="5">
        <v>100.60630557801133</v>
      </c>
      <c r="C5" s="5">
        <v>99.978107100614778</v>
      </c>
    </row>
    <row r="6" spans="1:3" x14ac:dyDescent="0.2">
      <c r="A6" s="3">
        <v>42125</v>
      </c>
      <c r="B6" s="5">
        <v>100.92966855295069</v>
      </c>
      <c r="C6" s="5">
        <v>99.969776092925827</v>
      </c>
    </row>
    <row r="7" spans="1:3" x14ac:dyDescent="0.2">
      <c r="A7" s="3">
        <v>42156</v>
      </c>
      <c r="B7" s="5">
        <v>100.92966855295069</v>
      </c>
      <c r="C7" s="5">
        <v>99.693831462147202</v>
      </c>
    </row>
    <row r="8" spans="1:3" x14ac:dyDescent="0.2">
      <c r="A8" s="3">
        <v>42186</v>
      </c>
      <c r="B8" s="5">
        <v>101.09135004042038</v>
      </c>
      <c r="C8" s="5">
        <v>99.69538447422876</v>
      </c>
    </row>
    <row r="9" spans="1:3" x14ac:dyDescent="0.2">
      <c r="A9" s="3">
        <v>42217</v>
      </c>
      <c r="B9" s="5">
        <v>101.45513338722718</v>
      </c>
      <c r="C9" s="5">
        <v>100.05456469166636</v>
      </c>
    </row>
    <row r="10" spans="1:3" x14ac:dyDescent="0.2">
      <c r="A10" s="3">
        <v>42248</v>
      </c>
      <c r="B10" s="5">
        <v>101.49555375909458</v>
      </c>
      <c r="C10" s="5">
        <v>100.31990483408779</v>
      </c>
    </row>
    <row r="11" spans="1:3" x14ac:dyDescent="0.2">
      <c r="A11" s="3">
        <v>42278</v>
      </c>
      <c r="B11" s="5">
        <v>101.85933710590137</v>
      </c>
      <c r="C11" s="5">
        <v>100.57995233139292</v>
      </c>
    </row>
    <row r="12" spans="1:3" x14ac:dyDescent="0.2">
      <c r="A12" s="3">
        <v>42309</v>
      </c>
      <c r="B12" s="5">
        <v>102.06143896523849</v>
      </c>
      <c r="C12" s="5">
        <v>100.65926640858778</v>
      </c>
    </row>
    <row r="13" spans="1:3" x14ac:dyDescent="0.2">
      <c r="A13" s="3">
        <v>42339</v>
      </c>
      <c r="B13" s="5">
        <v>102.06143896523849</v>
      </c>
      <c r="C13" s="5">
        <v>100.76764739706195</v>
      </c>
    </row>
    <row r="14" spans="1:3" x14ac:dyDescent="0.2">
      <c r="A14" s="3">
        <v>42370</v>
      </c>
      <c r="B14" s="5">
        <v>102.54648342764754</v>
      </c>
      <c r="C14" s="5">
        <v>101.29298026185339</v>
      </c>
    </row>
    <row r="15" spans="1:3" x14ac:dyDescent="0.2">
      <c r="A15" s="3">
        <v>42401</v>
      </c>
      <c r="B15" s="5">
        <v>102.58690379951496</v>
      </c>
      <c r="C15" s="5">
        <v>101.46782580908391</v>
      </c>
    </row>
    <row r="16" spans="1:3" x14ac:dyDescent="0.2">
      <c r="A16" s="3">
        <v>42430</v>
      </c>
      <c r="B16" s="5">
        <v>102.86984640258692</v>
      </c>
      <c r="C16" s="5">
        <v>101.42972040267166</v>
      </c>
    </row>
    <row r="17" spans="1:3" x14ac:dyDescent="0.2">
      <c r="A17" s="3">
        <v>42461</v>
      </c>
      <c r="B17" s="5">
        <v>103.19320937752627</v>
      </c>
      <c r="C17" s="5">
        <v>101.36028118826641</v>
      </c>
    </row>
    <row r="18" spans="1:3" x14ac:dyDescent="0.2">
      <c r="A18" s="3">
        <v>42491</v>
      </c>
      <c r="B18" s="5">
        <v>103.39531123686339</v>
      </c>
      <c r="C18" s="5">
        <v>101.3192648385143</v>
      </c>
    </row>
    <row r="19" spans="1:3" x14ac:dyDescent="0.2">
      <c r="A19" s="3">
        <v>42522</v>
      </c>
      <c r="B19" s="5">
        <v>103.55699272433307</v>
      </c>
      <c r="C19" s="5">
        <v>101.19678202270823</v>
      </c>
    </row>
    <row r="20" spans="1:3" x14ac:dyDescent="0.2">
      <c r="A20" s="3">
        <v>42552</v>
      </c>
      <c r="B20" s="5">
        <v>103.83993532740503</v>
      </c>
      <c r="C20" s="5">
        <v>101.52441388541634</v>
      </c>
    </row>
    <row r="21" spans="1:3" x14ac:dyDescent="0.2">
      <c r="A21" s="3">
        <v>42583</v>
      </c>
      <c r="B21" s="5">
        <v>103.92077607113987</v>
      </c>
      <c r="C21" s="5">
        <v>101.41591145262581</v>
      </c>
    </row>
    <row r="22" spans="1:3" x14ac:dyDescent="0.2">
      <c r="A22" s="3">
        <v>42614</v>
      </c>
      <c r="B22" s="5">
        <v>104.16329830234439</v>
      </c>
      <c r="C22" s="5">
        <v>101.38662962558647</v>
      </c>
    </row>
    <row r="23" spans="1:3" x14ac:dyDescent="0.2">
      <c r="A23" s="3">
        <v>42644</v>
      </c>
      <c r="B23" s="5">
        <v>104.68876313662085</v>
      </c>
      <c r="C23" s="5">
        <v>101.65992975966979</v>
      </c>
    </row>
    <row r="24" spans="1:3" x14ac:dyDescent="0.2">
      <c r="A24" s="3">
        <v>42675</v>
      </c>
      <c r="B24" s="5">
        <v>104.68876313662085</v>
      </c>
      <c r="C24" s="5">
        <v>101.54021915014229</v>
      </c>
    </row>
    <row r="25" spans="1:3" x14ac:dyDescent="0.2">
      <c r="A25" s="3">
        <v>42705</v>
      </c>
      <c r="B25" s="5">
        <v>104.81002425222312</v>
      </c>
      <c r="C25" s="5">
        <v>101.40184210626006</v>
      </c>
    </row>
    <row r="26" spans="1:3" x14ac:dyDescent="0.2">
      <c r="A26" s="3">
        <v>42736</v>
      </c>
      <c r="B26" s="5">
        <v>105.09296685529507</v>
      </c>
      <c r="C26" s="5">
        <v>101.26615722311141</v>
      </c>
    </row>
    <row r="27" spans="1:3" x14ac:dyDescent="0.2">
      <c r="A27" s="3">
        <v>42767</v>
      </c>
      <c r="B27" s="5">
        <v>105.37590945836703</v>
      </c>
      <c r="C27" s="5">
        <v>101.37733751474671</v>
      </c>
    </row>
    <row r="28" spans="1:3" x14ac:dyDescent="0.2">
      <c r="A28" s="3">
        <v>42795</v>
      </c>
      <c r="B28" s="5">
        <v>105.5375909458367</v>
      </c>
      <c r="C28" s="5">
        <v>101.58034237187907</v>
      </c>
    </row>
    <row r="29" spans="1:3" x14ac:dyDescent="0.2">
      <c r="A29" s="3">
        <v>42826</v>
      </c>
      <c r="B29" s="5">
        <v>105.82053354890866</v>
      </c>
      <c r="C29" s="5">
        <v>101.72712890625719</v>
      </c>
    </row>
    <row r="30" spans="1:3" x14ac:dyDescent="0.2">
      <c r="A30" s="3">
        <v>42856</v>
      </c>
      <c r="B30" s="5">
        <v>105.94179466451092</v>
      </c>
      <c r="C30" s="5">
        <v>101.9225851711855</v>
      </c>
    </row>
    <row r="31" spans="1:3" x14ac:dyDescent="0.2">
      <c r="A31" s="3">
        <v>42887</v>
      </c>
      <c r="B31" s="5">
        <v>106.14389652384804</v>
      </c>
      <c r="C31" s="5">
        <v>102.05052066563631</v>
      </c>
    </row>
    <row r="32" spans="1:3" x14ac:dyDescent="0.2">
      <c r="A32" s="3">
        <v>42917</v>
      </c>
      <c r="B32" s="5">
        <v>106.50767987065481</v>
      </c>
      <c r="C32" s="5">
        <v>102.36673446770885</v>
      </c>
    </row>
    <row r="33" spans="1:3" x14ac:dyDescent="0.2">
      <c r="A33" s="3">
        <v>42948</v>
      </c>
      <c r="B33" s="5">
        <v>106.58852061438967</v>
      </c>
      <c r="C33" s="5">
        <v>102.0516734384771</v>
      </c>
    </row>
    <row r="34" spans="1:3" x14ac:dyDescent="0.2">
      <c r="A34" s="3">
        <v>42979</v>
      </c>
      <c r="B34" s="5">
        <v>107.0735650767987</v>
      </c>
      <c r="C34" s="5">
        <v>101.9952449168473</v>
      </c>
    </row>
    <row r="35" spans="1:3" x14ac:dyDescent="0.2">
      <c r="A35" s="3">
        <v>43009</v>
      </c>
      <c r="B35" s="5">
        <v>107.11398544866613</v>
      </c>
      <c r="C35" s="5">
        <v>101.95472797725313</v>
      </c>
    </row>
    <row r="36" spans="1:3" x14ac:dyDescent="0.2">
      <c r="A36" s="3">
        <v>43040</v>
      </c>
      <c r="B36" s="5">
        <v>107.27566693613582</v>
      </c>
      <c r="C36" s="5">
        <v>101.83692024658721</v>
      </c>
    </row>
    <row r="37" spans="1:3" x14ac:dyDescent="0.2">
      <c r="A37" s="3">
        <v>43070</v>
      </c>
      <c r="B37" s="5">
        <v>107.63945028294259</v>
      </c>
      <c r="C37" s="5">
        <v>101.96742614382248</v>
      </c>
    </row>
    <row r="38" spans="1:3" x14ac:dyDescent="0.2">
      <c r="A38" s="3">
        <v>43101</v>
      </c>
      <c r="B38" s="5">
        <v>108.00323362974939</v>
      </c>
      <c r="C38" s="5">
        <v>101.87871479385025</v>
      </c>
    </row>
    <row r="39" spans="1:3" x14ac:dyDescent="0.2">
      <c r="A39" s="3">
        <v>43132</v>
      </c>
      <c r="B39" s="5">
        <v>108.08407437348424</v>
      </c>
      <c r="C39" s="5">
        <v>101.68121623920388</v>
      </c>
    </row>
    <row r="40" spans="1:3" x14ac:dyDescent="0.2">
      <c r="A40" s="3">
        <v>43160</v>
      </c>
      <c r="B40" s="5">
        <v>108.52869846402588</v>
      </c>
      <c r="C40" s="5">
        <v>102.07986464431693</v>
      </c>
    </row>
    <row r="41" spans="1:3" x14ac:dyDescent="0.2">
      <c r="A41" s="3">
        <v>43191</v>
      </c>
      <c r="B41" s="5">
        <v>108.7712206952304</v>
      </c>
      <c r="C41" s="5">
        <v>102.04221664545894</v>
      </c>
    </row>
    <row r="42" spans="1:3" x14ac:dyDescent="0.2">
      <c r="A42" s="3">
        <v>43221</v>
      </c>
      <c r="B42" s="5">
        <v>109.05416329830236</v>
      </c>
      <c r="C42" s="5">
        <v>102.07717021191498</v>
      </c>
    </row>
    <row r="43" spans="1:3" x14ac:dyDescent="0.2">
      <c r="A43" s="3">
        <v>43252</v>
      </c>
      <c r="B43" s="5">
        <v>109.25626515763946</v>
      </c>
      <c r="C43" s="5">
        <v>102.17426828737537</v>
      </c>
    </row>
    <row r="44" spans="1:3" x14ac:dyDescent="0.2">
      <c r="A44" s="3">
        <v>43282</v>
      </c>
      <c r="B44" s="5">
        <v>109.53920776071142</v>
      </c>
      <c r="C44" s="5">
        <v>102.35894657226001</v>
      </c>
    </row>
    <row r="45" spans="1:3" x14ac:dyDescent="0.2">
      <c r="A45" s="3">
        <v>43313</v>
      </c>
      <c r="B45" s="5">
        <v>109.98383185125304</v>
      </c>
      <c r="C45" s="5">
        <v>102.59106255423364</v>
      </c>
    </row>
    <row r="46" spans="1:3" x14ac:dyDescent="0.2">
      <c r="A46" s="3">
        <v>43344</v>
      </c>
      <c r="B46" s="5">
        <v>110.42845594179467</v>
      </c>
      <c r="C46" s="5">
        <v>102.7938106088796</v>
      </c>
    </row>
    <row r="47" spans="1:3" x14ac:dyDescent="0.2">
      <c r="A47" s="3">
        <v>43374</v>
      </c>
      <c r="B47" s="5">
        <v>110.63055780113177</v>
      </c>
      <c r="C47" s="5">
        <v>102.74156770584671</v>
      </c>
    </row>
    <row r="48" spans="1:3" x14ac:dyDescent="0.2">
      <c r="A48" s="3">
        <v>43405</v>
      </c>
      <c r="B48" s="5">
        <v>110.91350040420373</v>
      </c>
      <c r="C48" s="5">
        <v>103.07691979772132</v>
      </c>
    </row>
    <row r="49" spans="1:3" x14ac:dyDescent="0.2">
      <c r="A49" s="3">
        <v>43435</v>
      </c>
      <c r="B49" s="5">
        <v>111.39854486661278</v>
      </c>
      <c r="C49" s="5">
        <v>103.45683657994418</v>
      </c>
    </row>
    <row r="50" spans="1:3" x14ac:dyDescent="0.2">
      <c r="A50" s="3">
        <v>43466</v>
      </c>
      <c r="B50" s="5">
        <v>111.51980598221505</v>
      </c>
      <c r="C50" s="5">
        <v>103.65392873368033</v>
      </c>
    </row>
    <row r="51" spans="1:3" x14ac:dyDescent="0.2">
      <c r="A51" s="3">
        <v>43497</v>
      </c>
      <c r="B51" s="5">
        <v>111.92400970088927</v>
      </c>
      <c r="C51" s="5">
        <v>103.71833737404084</v>
      </c>
    </row>
    <row r="52" spans="1:3" x14ac:dyDescent="0.2">
      <c r="A52" s="3">
        <v>43525</v>
      </c>
      <c r="B52" s="5">
        <v>112.24737267582863</v>
      </c>
      <c r="C52" s="5">
        <v>103.62610064430815</v>
      </c>
    </row>
    <row r="53" spans="1:3" x14ac:dyDescent="0.2">
      <c r="A53" s="3">
        <v>43556</v>
      </c>
      <c r="B53" s="5">
        <v>112.32821341956347</v>
      </c>
      <c r="C53" s="5">
        <v>103.31231116510115</v>
      </c>
    </row>
    <row r="54" spans="1:3" x14ac:dyDescent="0.2">
      <c r="A54" s="3">
        <v>43586</v>
      </c>
      <c r="B54" s="5">
        <v>112.69199676637025</v>
      </c>
      <c r="C54" s="5">
        <v>103.62131864547474</v>
      </c>
    </row>
    <row r="55" spans="1:3" x14ac:dyDescent="0.2">
      <c r="A55" s="3">
        <v>43617</v>
      </c>
      <c r="B55" s="5">
        <v>113.05578011317705</v>
      </c>
      <c r="C55" s="5">
        <v>103.98962911069567</v>
      </c>
    </row>
    <row r="56" spans="1:3" x14ac:dyDescent="0.2">
      <c r="A56" s="3">
        <v>43647</v>
      </c>
      <c r="B56" s="5">
        <v>113.29830234438158</v>
      </c>
      <c r="C56" s="5">
        <v>103.97274681369395</v>
      </c>
    </row>
    <row r="57" spans="1:3" x14ac:dyDescent="0.2">
      <c r="A57" s="3">
        <v>43678</v>
      </c>
      <c r="B57" s="5">
        <v>113.74292643492321</v>
      </c>
      <c r="C57" s="5">
        <v>104.28537686817056</v>
      </c>
    </row>
    <row r="58" spans="1:3" x14ac:dyDescent="0.2">
      <c r="A58" s="3">
        <v>43709</v>
      </c>
      <c r="B58" s="5">
        <v>113.82376717865806</v>
      </c>
      <c r="C58" s="5">
        <v>104.19914937366315</v>
      </c>
    </row>
    <row r="59" spans="1:3" x14ac:dyDescent="0.2">
      <c r="A59" s="3">
        <v>43739</v>
      </c>
      <c r="B59" s="5">
        <v>114.1471301535974</v>
      </c>
      <c r="C59" s="5">
        <v>104.20056527062098</v>
      </c>
    </row>
    <row r="60" spans="1:3" x14ac:dyDescent="0.2">
      <c r="A60" s="3">
        <v>43770</v>
      </c>
      <c r="B60" s="5">
        <v>114.55133387227163</v>
      </c>
      <c r="C60" s="5">
        <v>104.27596652893081</v>
      </c>
    </row>
    <row r="61" spans="1:3" x14ac:dyDescent="0.2">
      <c r="A61" s="3">
        <v>43800</v>
      </c>
      <c r="B61" s="5">
        <v>114.71301535974132</v>
      </c>
      <c r="C61" s="5">
        <v>104.11992505375709</v>
      </c>
    </row>
    <row r="62" spans="1:3" x14ac:dyDescent="0.2">
      <c r="A62" s="3">
        <v>43831</v>
      </c>
      <c r="B62" s="5">
        <v>114.91511721907841</v>
      </c>
      <c r="C62" s="5">
        <v>104.1033123596808</v>
      </c>
    </row>
    <row r="63" spans="1:3" x14ac:dyDescent="0.2">
      <c r="A63" s="3">
        <v>43862</v>
      </c>
      <c r="B63" s="5">
        <v>115.35974130962006</v>
      </c>
      <c r="C63" s="5">
        <v>104.45652147814613</v>
      </c>
    </row>
    <row r="64" spans="1:3" x14ac:dyDescent="0.2">
      <c r="A64" s="3">
        <v>43891</v>
      </c>
      <c r="B64" s="5">
        <v>116.12772837510106</v>
      </c>
      <c r="C64" s="5">
        <v>105.63026338315011</v>
      </c>
    </row>
    <row r="65" spans="1:3" x14ac:dyDescent="0.2">
      <c r="A65" s="3">
        <v>43922</v>
      </c>
      <c r="B65" s="5">
        <v>121.42279708973322</v>
      </c>
      <c r="C65" s="5">
        <v>111.32841734011221</v>
      </c>
    </row>
    <row r="66" spans="1:3" x14ac:dyDescent="0.2">
      <c r="A66" s="3">
        <v>43952</v>
      </c>
      <c r="B66" s="5">
        <v>120.12934518997575</v>
      </c>
      <c r="C66" s="5">
        <v>110.24152819489777</v>
      </c>
    </row>
    <row r="67" spans="1:3" x14ac:dyDescent="0.2">
      <c r="A67" s="3">
        <v>43983</v>
      </c>
      <c r="B67" s="5">
        <v>118.75505254648344</v>
      </c>
      <c r="C67" s="5">
        <v>108.45461955684033</v>
      </c>
    </row>
    <row r="68" spans="1:3" x14ac:dyDescent="0.2">
      <c r="A68" s="3">
        <v>44013</v>
      </c>
      <c r="B68" s="5">
        <v>118.79547291835087</v>
      </c>
      <c r="C68" s="5">
        <v>107.9414166763335</v>
      </c>
    </row>
    <row r="69" spans="1:3" x14ac:dyDescent="0.2">
      <c r="A69" s="3">
        <v>44044</v>
      </c>
      <c r="B69" s="5">
        <v>119.19967663702506</v>
      </c>
      <c r="C69" s="5">
        <v>107.90605474213595</v>
      </c>
    </row>
    <row r="70" spans="1:3" x14ac:dyDescent="0.2">
      <c r="A70" s="3">
        <v>44075</v>
      </c>
      <c r="B70" s="5">
        <v>119.2805173807599</v>
      </c>
      <c r="C70" s="5">
        <v>107.69641039543242</v>
      </c>
    </row>
    <row r="71" spans="1:3" x14ac:dyDescent="0.2">
      <c r="A71" s="3">
        <v>44105</v>
      </c>
      <c r="B71" s="5">
        <v>119.40177849636217</v>
      </c>
      <c r="C71" s="5">
        <v>107.67254521062823</v>
      </c>
    </row>
    <row r="72" spans="1:3" x14ac:dyDescent="0.2">
      <c r="A72" s="3">
        <v>44136</v>
      </c>
      <c r="B72" s="5">
        <v>119.80598221503638</v>
      </c>
      <c r="C72" s="5">
        <v>107.7919095286636</v>
      </c>
    </row>
    <row r="73" spans="1:3" x14ac:dyDescent="0.2">
      <c r="A73" s="3">
        <v>44166</v>
      </c>
      <c r="B73" s="5">
        <v>120.89733225545676</v>
      </c>
      <c r="C73" s="5">
        <v>108.30310082226985</v>
      </c>
    </row>
    <row r="74" spans="1:3" x14ac:dyDescent="0.2">
      <c r="A74" s="3">
        <v>44197</v>
      </c>
      <c r="B74" s="5">
        <v>120.9781729991916</v>
      </c>
      <c r="C74" s="5">
        <v>108.11065327572827</v>
      </c>
    </row>
    <row r="75" spans="1:3" x14ac:dyDescent="0.2">
      <c r="A75" s="3">
        <v>44228</v>
      </c>
      <c r="B75" s="5">
        <v>121.46321746160065</v>
      </c>
      <c r="C75" s="5">
        <v>108.17677398221545</v>
      </c>
    </row>
    <row r="76" spans="1:3" x14ac:dyDescent="0.2">
      <c r="A76" s="3">
        <v>44256</v>
      </c>
      <c r="B76" s="5">
        <v>121.38237671786582</v>
      </c>
      <c r="C76" s="5">
        <v>107.54091654012798</v>
      </c>
    </row>
    <row r="77" spans="1:3" x14ac:dyDescent="0.2">
      <c r="A77" s="3">
        <v>44287</v>
      </c>
      <c r="B77" s="5">
        <v>122.1503637833468</v>
      </c>
      <c r="C77" s="5">
        <v>107.55035912236161</v>
      </c>
    </row>
    <row r="78" spans="1:3" x14ac:dyDescent="0.2">
      <c r="A78" s="3">
        <v>44317</v>
      </c>
      <c r="B78" s="5">
        <v>122.9183508488278</v>
      </c>
      <c r="C78" s="5">
        <v>107.51319609181576</v>
      </c>
    </row>
    <row r="79" spans="1:3" x14ac:dyDescent="0.2">
      <c r="A79" s="3">
        <v>44348</v>
      </c>
      <c r="B79" s="5">
        <v>123.44381568310429</v>
      </c>
      <c r="C79" s="5">
        <v>107.0668284974975</v>
      </c>
    </row>
    <row r="80" spans="1:3" x14ac:dyDescent="0.2">
      <c r="A80" s="3">
        <v>44378</v>
      </c>
      <c r="B80" s="5">
        <v>123.92886014551334</v>
      </c>
      <c r="C80" s="5">
        <v>106.99377400241563</v>
      </c>
    </row>
    <row r="81" spans="1:3" x14ac:dyDescent="0.2">
      <c r="A81" s="3">
        <v>44409</v>
      </c>
      <c r="B81" s="5">
        <v>124.4139046079224</v>
      </c>
      <c r="C81" s="5">
        <v>107.10803614911457</v>
      </c>
    </row>
    <row r="82" spans="1:3" x14ac:dyDescent="0.2">
      <c r="A82" s="3">
        <v>44440</v>
      </c>
      <c r="B82" s="5">
        <v>125.22231204527084</v>
      </c>
      <c r="C82" s="5">
        <v>107.31832384977251</v>
      </c>
    </row>
    <row r="83" spans="1:3" x14ac:dyDescent="0.2">
      <c r="A83" s="3">
        <v>44470</v>
      </c>
      <c r="B83" s="5">
        <v>125.86903799514957</v>
      </c>
      <c r="C83" s="5">
        <v>106.84280984359927</v>
      </c>
    </row>
    <row r="84" spans="1:3" x14ac:dyDescent="0.2">
      <c r="A84" s="3">
        <v>44501</v>
      </c>
      <c r="B84" s="5">
        <v>126.23282134195635</v>
      </c>
      <c r="C84" s="5">
        <v>106.24151137627852</v>
      </c>
    </row>
    <row r="85" spans="1:3" x14ac:dyDescent="0.2">
      <c r="A85" s="3">
        <v>44531</v>
      </c>
      <c r="B85" s="5">
        <v>126.87954729183511</v>
      </c>
      <c r="C85" s="5">
        <v>106.05349245354702</v>
      </c>
    </row>
    <row r="86" spans="1:3" x14ac:dyDescent="0.2">
      <c r="A86" s="3">
        <v>44562</v>
      </c>
      <c r="B86" s="5">
        <v>127.72837510105094</v>
      </c>
      <c r="C86" s="5">
        <v>106.12137929393546</v>
      </c>
    </row>
    <row r="87" spans="1:3" x14ac:dyDescent="0.2">
      <c r="A87" s="3">
        <v>44593</v>
      </c>
      <c r="B87" s="5">
        <v>127.89005658852062</v>
      </c>
      <c r="C87" s="5">
        <v>105.52480532156574</v>
      </c>
    </row>
    <row r="88" spans="1:3" x14ac:dyDescent="0.2">
      <c r="A88" s="3">
        <v>44621</v>
      </c>
      <c r="B88" s="5">
        <v>128.53678253839936</v>
      </c>
      <c r="C88" s="5">
        <v>104.88825577056544</v>
      </c>
    </row>
    <row r="89" spans="1:3" x14ac:dyDescent="0.2">
      <c r="A89" s="3">
        <v>44652</v>
      </c>
      <c r="B89" s="5">
        <v>129.18350848827811</v>
      </c>
      <c r="C89" s="5">
        <v>105.09195999146741</v>
      </c>
    </row>
    <row r="90" spans="1:3" x14ac:dyDescent="0.2">
      <c r="A90" s="3">
        <v>44682</v>
      </c>
      <c r="B90" s="5">
        <v>129.749393694422</v>
      </c>
      <c r="C90" s="5">
        <v>104.56055627427749</v>
      </c>
    </row>
    <row r="91" spans="1:3" x14ac:dyDescent="0.2">
      <c r="A91" s="3">
        <v>44713</v>
      </c>
      <c r="B91" s="5">
        <v>130.11317704122877</v>
      </c>
      <c r="C91" s="5">
        <v>103.552985590772</v>
      </c>
    </row>
    <row r="92" spans="1:3" x14ac:dyDescent="0.2">
      <c r="A92" s="3">
        <v>44743</v>
      </c>
      <c r="B92" s="5">
        <v>130.71948261924013</v>
      </c>
      <c r="C92" s="5">
        <v>104.05104687287017</v>
      </c>
    </row>
    <row r="93" spans="1:3" x14ac:dyDescent="0.2">
      <c r="A93" s="3">
        <v>44774</v>
      </c>
      <c r="B93" s="5">
        <v>131.12368633791431</v>
      </c>
      <c r="C93" s="5">
        <v>104.30770897964526</v>
      </c>
    </row>
    <row r="94" spans="1:3" x14ac:dyDescent="0.2">
      <c r="A94" s="3">
        <v>44805</v>
      </c>
      <c r="B94" s="5">
        <v>131.64915117219081</v>
      </c>
      <c r="C94" s="5">
        <v>104.28327171752991</v>
      </c>
    </row>
    <row r="95" spans="1:3" x14ac:dyDescent="0.2">
      <c r="A95" s="3">
        <v>44835</v>
      </c>
      <c r="B95" s="5">
        <v>132.17461600646726</v>
      </c>
      <c r="C95" s="5">
        <v>104.11699921032115</v>
      </c>
    </row>
    <row r="96" spans="1:3" x14ac:dyDescent="0.2">
      <c r="A96" s="3">
        <v>44866</v>
      </c>
      <c r="B96" s="5">
        <v>132.65966046887633</v>
      </c>
      <c r="C96" s="5">
        <v>104.22662814217306</v>
      </c>
    </row>
    <row r="97" spans="1:3" x14ac:dyDescent="0.2">
      <c r="A97" s="3">
        <v>44896</v>
      </c>
      <c r="B97" s="5">
        <v>133.14470493128536</v>
      </c>
      <c r="C97" s="5">
        <v>104.5916101639197</v>
      </c>
    </row>
    <row r="98" spans="1:3" x14ac:dyDescent="0.2">
      <c r="A98" s="3">
        <v>44927</v>
      </c>
      <c r="B98" s="5">
        <v>133.46806790622477</v>
      </c>
      <c r="C98" s="5">
        <v>104.29142046728761</v>
      </c>
    </row>
    <row r="99" spans="1:3" x14ac:dyDescent="0.2">
      <c r="A99" s="3">
        <v>44958</v>
      </c>
      <c r="B99" s="5">
        <v>133.99353274050122</v>
      </c>
      <c r="C99" s="5">
        <v>104.34426880157386</v>
      </c>
    </row>
    <row r="100" spans="1:3" x14ac:dyDescent="0.2">
      <c r="A100" s="3">
        <v>44986</v>
      </c>
      <c r="B100" s="5">
        <v>134.47857720291029</v>
      </c>
      <c r="C100" s="5">
        <v>104.59326078255515</v>
      </c>
    </row>
    <row r="101" spans="1:3" x14ac:dyDescent="0.2">
      <c r="A101" s="3">
        <v>45017</v>
      </c>
      <c r="B101" s="5">
        <v>135.125303152789</v>
      </c>
      <c r="C101" s="5">
        <v>104.74090554312522</v>
      </c>
    </row>
    <row r="102" spans="1:3" x14ac:dyDescent="0.2">
      <c r="A102" s="3">
        <v>45047</v>
      </c>
      <c r="B102" s="5">
        <v>135.40824575586097</v>
      </c>
      <c r="C102" s="5">
        <v>104.79102067836476</v>
      </c>
    </row>
    <row r="103" spans="1:3" x14ac:dyDescent="0.2">
      <c r="A103" s="3">
        <v>45078</v>
      </c>
      <c r="B103" s="5">
        <v>136.17623282134196</v>
      </c>
      <c r="C103" s="5">
        <v>105.14963826044708</v>
      </c>
    </row>
    <row r="104" spans="1:3" x14ac:dyDescent="0.2">
      <c r="A104" s="3">
        <v>45108</v>
      </c>
      <c r="B104" s="5">
        <v>136.8229587712207</v>
      </c>
      <c r="C104" s="5">
        <v>105.4426464834189</v>
      </c>
    </row>
    <row r="105" spans="1:3" x14ac:dyDescent="0.2">
      <c r="A105" s="3">
        <v>45139</v>
      </c>
      <c r="B105" s="5">
        <v>136.9846402586904</v>
      </c>
      <c r="C105" s="5">
        <v>105.05921075661684</v>
      </c>
    </row>
    <row r="106" spans="1:3" x14ac:dyDescent="0.2">
      <c r="A106" s="3">
        <v>45170</v>
      </c>
      <c r="B106" s="5">
        <v>137.46968472109944</v>
      </c>
      <c r="C106" s="5">
        <v>105.0215313894477</v>
      </c>
    </row>
    <row r="107" spans="1:3" x14ac:dyDescent="0.2">
      <c r="A107" s="3">
        <v>45200</v>
      </c>
      <c r="B107" s="5">
        <v>137.75262732417139</v>
      </c>
      <c r="C107" s="5">
        <v>105.0940408925279</v>
      </c>
    </row>
    <row r="108" spans="1:3" x14ac:dyDescent="0.2">
      <c r="A108" s="3">
        <v>45231</v>
      </c>
      <c r="B108" s="5">
        <v>138.11641067097818</v>
      </c>
      <c r="C108" s="5">
        <v>105.21701603054414</v>
      </c>
    </row>
    <row r="109" spans="1:3" x14ac:dyDescent="0.2">
      <c r="A109" s="3">
        <v>45261</v>
      </c>
      <c r="B109" s="5">
        <v>138.60145513338725</v>
      </c>
      <c r="C109" s="5">
        <v>105.38372224031551</v>
      </c>
    </row>
    <row r="110" spans="1:3" x14ac:dyDescent="0.2">
      <c r="A110" s="3">
        <v>45292</v>
      </c>
      <c r="B110" s="5">
        <v>139.32902182700082</v>
      </c>
      <c r="C110" s="5">
        <v>105.60956120744392</v>
      </c>
    </row>
    <row r="111" spans="1:3" x14ac:dyDescent="0.2">
      <c r="A111" s="3">
        <v>45323</v>
      </c>
      <c r="B111" s="5">
        <v>139.53112368633793</v>
      </c>
      <c r="C111" s="5">
        <v>105.33115311913089</v>
      </c>
    </row>
    <row r="112" spans="1:3" x14ac:dyDescent="0.2">
      <c r="A112" s="3">
        <v>45352</v>
      </c>
      <c r="B112" s="5">
        <v>140.05658852061441</v>
      </c>
      <c r="C112" s="5">
        <v>105.26137439513572</v>
      </c>
    </row>
    <row r="113" spans="1:3" x14ac:dyDescent="0.2">
      <c r="A113" s="3">
        <v>45383</v>
      </c>
      <c r="B113" s="5">
        <v>140.50121261115603</v>
      </c>
      <c r="C113" s="5">
        <v>105.3668201915867</v>
      </c>
    </row>
    <row r="114" spans="1:3" x14ac:dyDescent="0.2">
      <c r="A114" s="3">
        <v>45413</v>
      </c>
      <c r="B114" s="5">
        <v>141.02667744543251</v>
      </c>
      <c r="C114" s="5">
        <v>105.70955360511836</v>
      </c>
    </row>
    <row r="115" spans="1:3" x14ac:dyDescent="0.2">
      <c r="A115" s="3">
        <v>45444</v>
      </c>
      <c r="B115" s="5">
        <v>141.51172190784155</v>
      </c>
      <c r="C115" s="5">
        <v>106.1175176099848</v>
      </c>
    </row>
    <row r="116" spans="1:3" x14ac:dyDescent="0.2">
      <c r="A116" s="3">
        <v>45474</v>
      </c>
      <c r="B116" s="5">
        <v>141.79466451091349</v>
      </c>
      <c r="C116" s="5">
        <v>106.15166712890436</v>
      </c>
    </row>
    <row r="117" spans="1:3" x14ac:dyDescent="0.2">
      <c r="A117" s="3">
        <v>45505</v>
      </c>
      <c r="B117" s="5">
        <v>142.36054971705741</v>
      </c>
      <c r="C117" s="5">
        <v>106.40800849650729</v>
      </c>
    </row>
    <row r="118" spans="1:3" x14ac:dyDescent="0.2">
      <c r="A118" s="3">
        <v>45536</v>
      </c>
      <c r="B118" s="5">
        <v>142.84559417946647</v>
      </c>
      <c r="C118" s="5">
        <v>106.54326441813105</v>
      </c>
    </row>
    <row r="119" spans="1:3" x14ac:dyDescent="0.2">
      <c r="A119" s="3">
        <v>45566</v>
      </c>
      <c r="B119" s="5">
        <v>143.33063864187551</v>
      </c>
      <c r="C119" s="5">
        <v>106.60054756745807</v>
      </c>
    </row>
    <row r="120" spans="1:3" x14ac:dyDescent="0.2">
      <c r="A120" s="3">
        <v>45597</v>
      </c>
      <c r="B120" s="5">
        <v>143.8965238480194</v>
      </c>
      <c r="C120" s="5">
        <v>106.71813325756652</v>
      </c>
    </row>
    <row r="121" spans="1:3" x14ac:dyDescent="0.2">
      <c r="A121" s="3">
        <v>45627</v>
      </c>
      <c r="B121" s="5">
        <v>144.2603071948262</v>
      </c>
      <c r="C121" s="5">
        <v>106.62546546348241</v>
      </c>
    </row>
    <row r="122" spans="1:3" x14ac:dyDescent="0.2">
      <c r="A122" s="3">
        <v>45658</v>
      </c>
      <c r="B122" s="5">
        <v>144.86661277283756</v>
      </c>
      <c r="C122" s="5">
        <v>106.61805909996924</v>
      </c>
    </row>
    <row r="123" spans="1:3" x14ac:dyDescent="0.2">
      <c r="A123" s="3">
        <v>45689</v>
      </c>
      <c r="B123" s="5">
        <v>145.27081649151171</v>
      </c>
      <c r="C123" s="5">
        <v>106.67540989221347</v>
      </c>
    </row>
    <row r="124" spans="1:3" x14ac:dyDescent="0.2">
      <c r="A124" s="3">
        <v>45717</v>
      </c>
      <c r="B124" s="5">
        <v>145.95796281325789</v>
      </c>
      <c r="C124" s="5">
        <v>107.14446861648872</v>
      </c>
    </row>
    <row r="125" spans="1:3" x14ac:dyDescent="0.2">
      <c r="A125" s="3">
        <v>45748</v>
      </c>
      <c r="B125" s="5">
        <v>145.99838318512531</v>
      </c>
      <c r="C125" s="5">
        <v>107.00115034423328</v>
      </c>
    </row>
    <row r="126" spans="1:3" x14ac:dyDescent="0.2">
      <c r="A126" s="3">
        <v>45778</v>
      </c>
      <c r="B126" s="5">
        <v>146.64510913500405</v>
      </c>
      <c r="C126" s="5">
        <v>107.36853419660281</v>
      </c>
    </row>
    <row r="127" spans="1:3" x14ac:dyDescent="0.2">
      <c r="A127" s="3">
        <v>45809</v>
      </c>
      <c r="B127" s="5">
        <v>146.96847210994341</v>
      </c>
      <c r="C127" s="5">
        <v>107.3324557761068</v>
      </c>
    </row>
    <row r="128" spans="1:3" x14ac:dyDescent="0.2">
      <c r="A128" s="3">
        <v>45839</v>
      </c>
      <c r="B128" s="5">
        <v>147.41309620048503</v>
      </c>
      <c r="C128" s="5">
        <v>107.4118928071145</v>
      </c>
    </row>
    <row r="129" spans="1:3" x14ac:dyDescent="0.2">
      <c r="A129" s="3">
        <v>45870</v>
      </c>
      <c r="B129" s="5">
        <v>148.01940177849636</v>
      </c>
      <c r="C129" s="5">
        <v>107.47936227515362</v>
      </c>
    </row>
    <row r="130" spans="1:3" x14ac:dyDescent="0.2">
      <c r="A130" s="3">
        <v>45901</v>
      </c>
      <c r="B130" s="5">
        <v>148.34276475343574</v>
      </c>
      <c r="C130" s="5">
        <v>107.39724281816154</v>
      </c>
    </row>
    <row r="131" spans="1:3" x14ac:dyDescent="0.2">
      <c r="A131" s="3">
        <v>45931</v>
      </c>
      <c r="B131" s="5">
        <v>148.94907033144707</v>
      </c>
      <c r="C131" t="e">
        <f>NA()</f>
        <v>#N/A</v>
      </c>
    </row>
    <row r="132" spans="1:3" x14ac:dyDescent="0.2">
      <c r="A132" s="3">
        <v>45962</v>
      </c>
      <c r="B132" s="5">
        <v>149.55537590945838</v>
      </c>
      <c r="C132" s="5">
        <v>108.00268202969157</v>
      </c>
    </row>
    <row r="133" spans="1:3" x14ac:dyDescent="0.2">
      <c r="A133" s="3">
        <v>45992</v>
      </c>
      <c r="B133" s="5">
        <v>149.63621665319323</v>
      </c>
      <c r="C133" s="5">
        <v>107.74022393786835</v>
      </c>
    </row>
    <row r="134" spans="1:3" x14ac:dyDescent="0.2">
      <c r="A134" s="3">
        <v>46023</v>
      </c>
      <c r="B134" s="5">
        <v>150.16168148746968</v>
      </c>
      <c r="C134" s="5">
        <v>107.93416856755009</v>
      </c>
    </row>
    <row r="135" spans="1:3" x14ac:dyDescent="0.2">
      <c r="A135" s="3">
        <v>46054</v>
      </c>
      <c r="B135" s="5">
        <v>150.64672594987877</v>
      </c>
      <c r="C135" s="5">
        <v>107.99446337432418</v>
      </c>
    </row>
    <row r="136" spans="1:3" x14ac:dyDescent="0.2">
      <c r="A136" s="3">
        <v>46082</v>
      </c>
      <c r="B136" s="5">
        <v>150.9700889248181</v>
      </c>
      <c r="C136" s="5">
        <v>107.29799137382348</v>
      </c>
    </row>
    <row r="137" spans="1:3" x14ac:dyDescent="0.2">
      <c r="A137" s="3">
        <v>46113</v>
      </c>
      <c r="B137" s="5">
        <v>151.21261115602263</v>
      </c>
      <c r="C137" s="5">
        <v>106.78688123608362</v>
      </c>
    </row>
    <row r="138" spans="1:3" x14ac:dyDescent="0.2">
      <c r="A138" s="3">
        <v>46143</v>
      </c>
      <c r="B138" s="5">
        <v>151.53597413096202</v>
      </c>
      <c r="C138" s="5">
        <v>106.51153311831267</v>
      </c>
    </row>
    <row r="139" spans="1:3" x14ac:dyDescent="0.2">
      <c r="A139" s="3">
        <v>46174</v>
      </c>
      <c r="B139" s="5">
        <v>151.94017784963626</v>
      </c>
      <c r="C139" s="5">
        <v>107.24874590961417</v>
      </c>
    </row>
    <row r="140" spans="1:3" x14ac:dyDescent="0.2">
      <c r="A140" s="3">
        <v>46204</v>
      </c>
      <c r="B140" s="5">
        <v>152.14227970897335</v>
      </c>
      <c r="C140" s="5">
        <v>107.31234577628388</v>
      </c>
    </row>
    <row r="141" spans="1:3" x14ac:dyDescent="0.2">
      <c r="A141" s="3">
        <v>46235</v>
      </c>
      <c r="B141" s="5">
        <v>152.62732417138238</v>
      </c>
      <c r="C141" s="5">
        <v>107.22981844623666</v>
      </c>
    </row>
    <row r="142" spans="1:3" x14ac:dyDescent="0.2">
      <c r="A142" s="3">
        <v>46266</v>
      </c>
      <c r="B142" s="5">
        <v>152.8294260307195</v>
      </c>
      <c r="C142" s="5">
        <v>106.6799364624033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Wage Index Chart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Rupasinghe, Vihini Janindi</dc:creator>
  <cp:lastModifiedBy>Rupasinghe, Vihini Janindi</cp:lastModifiedBy>
  <dcterms:created xsi:type="dcterms:W3CDTF">2026-10-28T01:48:18Z</dcterms:created>
  <dcterms:modified xsi:type="dcterms:W3CDTF">2026-10-28T03:15:00Z</dcterms:modified>
</cp:coreProperties>
</file>